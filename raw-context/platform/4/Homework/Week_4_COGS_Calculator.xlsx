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Welcome" sheetId="1" state="visible" r:id="rId3"/>
    <sheet name="💰 Ingredient Prices" sheetId="2" state="visible" r:id="rId4"/>
    <sheet name="☕ Drink Builder" sheetId="3" state="visible" r:id="rId5"/>
    <sheet name="📊 Menu 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<sst xmlns="http://schemas.openxmlformats.org/spreadsheetml/2006/main" count="241" uniqueCount="171">
  <si>
    <t xml:space="preserve">Drink COGS Calculator</t>
  </si>
  <si>
    <t xml:space="preserve">Coffee Shop Basecamp  ·  Week 4  ·  Menu Design &amp; Coffee Program</t>
  </si>
  <si>
    <t xml:space="preserve">Timberline Coffee School</t>
  </si>
  <si>
    <t xml:space="preserve">HOW TO USE THIS CALCULATOR</t>
  </si>
  <si>
    <t xml:space="preserve">Step 1 — Ingredient Prices</t>
  </si>
  <si>
    <t xml:space="preserve">Go to the '💰 Ingredient Prices' tab. Enter what you actually pay for each ingredient — coffee per kg, each milk type per litre, syrups, cups, lids. These are the only numbers you need to enter on that tab.</t>
  </si>
  <si>
    <t xml:space="preserve">Step 2 — Drink Builder</t>
  </si>
  <si>
    <t xml:space="preserve">Go to the '☕ Drink Builder' tab. For each drink on your menu, enter the name, number of shots, milk type, milk volume, syrup pumps, cup size, and whether you use a sleeve. The cost per drink calculates automatically.</t>
  </si>
  <si>
    <t xml:space="preserve">Step 3 — Menu Summary</t>
  </si>
  <si>
    <t xml:space="preserve">Go to the '📊 Menu Summary' tab. Your drink costs will pull through automatically. Add your planned selling price for each drink — the tab calculates your margin per drink and your blended menu margin.</t>
  </si>
  <si>
    <t xml:space="preserve">Step 4 — Feed into Menu Builder</t>
  </si>
  <si>
    <t xml:space="preserve">Copy the 'Cost per drink' and 'Margin %' columns from the Menu Summary tab into your Week 4 Menu Builder worksheet. Your numbers are now real — not guesses.</t>
  </si>
  <si>
    <t xml:space="preserve">COLOUR &amp; FORMATTING LEGEND</t>
  </si>
  <si>
    <t xml:space="preserve">Blue text on light teal</t>
  </si>
  <si>
    <t xml:space="preserve">Cells you fill in — your ingredient costs, quantities, and prices</t>
  </si>
  <si>
    <t xml:space="preserve">Blue text on yellow</t>
  </si>
  <si>
    <t xml:space="preserve">Key inputs that drive most of the calculation — pay attention to these</t>
  </si>
  <si>
    <t xml:space="preserve">Black text</t>
  </si>
  <si>
    <t xml:space="preserve">Calculated values — the spreadsheet works these out for you. Don't edit.</t>
  </si>
  <si>
    <t xml:space="preserve">Green text on grey</t>
  </si>
  <si>
    <t xml:space="preserve">Values pulled automatically from another tab in this workbook</t>
  </si>
  <si>
    <t xml:space="preserve">A NOTE ON THE NUMBERS</t>
  </si>
  <si>
    <t xml:space="preserve">The ingredient costs in this calculator are estimates based on typical wholesale rates. Your actual costs will vary depending on your roaster, your milk supplier, your cup supplier, and your location. The default values give you a realistic starting point — but replace them with your real numbers as soon as you have them. Real numbers make real models. Guesses make plans that fall apart.</t>
  </si>
  <si>
    <t xml:space="preserve">Ingredient Prices</t>
  </si>
  <si>
    <t xml:space="preserve">Enter what you actually pay for each ingredient. These prices flow automatically into the Drink Builder.</t>
  </si>
  <si>
    <t xml:space="preserve">Blue cells = your inputs   |   Black cells = calculated automatically</t>
  </si>
  <si>
    <t xml:space="preserve">A  —  COFFEE</t>
  </si>
  <si>
    <t xml:space="preserve">Ingredient</t>
  </si>
  <si>
    <t xml:space="preserve">Your Cost</t>
  </si>
  <si>
    <t xml:space="preserve">Unit</t>
  </si>
  <si>
    <t xml:space="preserve">Yield / Dose</t>
  </si>
  <si>
    <t xml:space="preserve">Cost Per Shot / Cup</t>
  </si>
  <si>
    <t xml:space="preserve">Espresso blend (house)</t>
  </si>
  <si>
    <t xml:space="preserve">per kg</t>
  </si>
  <si>
    <t xml:space="preserve">g per double shot</t>
  </si>
  <si>
    <t xml:space="preserve">Single origin / filter</t>
  </si>
  <si>
    <t xml:space="preserve">g per cup (batch)</t>
  </si>
  <si>
    <t xml:space="preserve">Decaf blend</t>
  </si>
  <si>
    <t xml:space="preserve">→ Cost per double shot (house espresso)</t>
  </si>
  <si>
    <t xml:space="preserve">Includes 15% waste factor for grinding &amp; bad shots</t>
  </si>
  <si>
    <t xml:space="preserve">→ Cost per filter cup (batch brew)</t>
  </si>
  <si>
    <t xml:space="preserve">Includes 10% waste factor for batch brew</t>
  </si>
  <si>
    <t xml:space="preserve">B  —  MILK &amp; ALTERNATIVES</t>
  </si>
  <si>
    <t xml:space="preserve">Milk Type</t>
  </si>
  <si>
    <t xml:space="preserve">Cost per Litre</t>
  </si>
  <si>
    <t xml:space="preserve">Markup vs Dairy</t>
  </si>
  <si>
    <t xml:space="preserve">Notes</t>
  </si>
  <si>
    <t xml:space="preserve">Whole milk (dairy)</t>
  </si>
  <si>
    <t xml:space="preserve">per litre</t>
  </si>
  <si>
    <t xml:space="preserve">Your baseline — most drinks</t>
  </si>
  <si>
    <t xml:space="preserve">Oat milk</t>
  </si>
  <si>
    <t xml:space="preserve">Most popular alt-milk; charge $0.75–$1.00 extra</t>
  </si>
  <si>
    <t xml:space="preserve">Almond milk</t>
  </si>
  <si>
    <t xml:space="preserve">Thinner texture; charge $0.75 extra</t>
  </si>
  <si>
    <t xml:space="preserve">Soy milk</t>
  </si>
  <si>
    <t xml:space="preserve">Older alt-milk; declining demand</t>
  </si>
  <si>
    <t xml:space="preserve">Coconut milk</t>
  </si>
  <si>
    <t xml:space="preserve">Good for iced drinks and specialty</t>
  </si>
  <si>
    <t xml:space="preserve">→ Cost per 180ml dairy (flat white / latte portion)</t>
  </si>
  <si>
    <t xml:space="preserve">180ml = standard flat white / medium latte milk volume</t>
  </si>
  <si>
    <t xml:space="preserve">→ Cost per 180ml oat milk (flat white / latte portion)</t>
  </si>
  <si>
    <t xml:space="preserve">This is why oat milk surcharges matter — it costs ~2x more per drink</t>
  </si>
  <si>
    <t xml:space="preserve">C  —  SYRUPS &amp; FLAVOURINGS</t>
  </si>
  <si>
    <t xml:space="preserve">Cost per Litre / Unit</t>
  </si>
  <si>
    <t xml:space="preserve">Pumps per Litre</t>
  </si>
  <si>
    <t xml:space="preserve">Cost per Pump</t>
  </si>
  <si>
    <t xml:space="preserve">Flavoured syrup (vanilla, caramel, etc.)</t>
  </si>
  <si>
    <t xml:space="preserve">~10ml per pump; 1 pump per standard flavoured drink</t>
  </si>
  <si>
    <t xml:space="preserve">Simple syrup (house-made)</t>
  </si>
  <si>
    <t xml:space="preserve">Cheap to make; good for iced drinks</t>
  </si>
  <si>
    <t xml:space="preserve">Matcha powder</t>
  </si>
  <si>
    <t xml:space="preserve">—</t>
  </si>
  <si>
    <t xml:space="preserve">See note →</t>
  </si>
  <si>
    <t xml:space="preserve">Per 100g tin; ~5g per drink = price/100×5</t>
  </si>
  <si>
    <t xml:space="preserve">Chai concentrate</t>
  </si>
  <si>
    <t xml:space="preserve">Per litre; ~60ml per chai latte</t>
  </si>
  <si>
    <t xml:space="preserve">Chocolate powder / cocoa</t>
  </si>
  <si>
    <t xml:space="preserve">Per kg; ~15g per mocha</t>
  </si>
  <si>
    <t xml:space="preserve">Vanilla extract</t>
  </si>
  <si>
    <t xml:space="preserve">Per litre; tiny quantities per drink</t>
  </si>
  <si>
    <t xml:space="preserve">D  —  CUPS, LIDS &amp; PACKAGING</t>
  </si>
  <si>
    <t xml:space="preserve">Item</t>
  </si>
  <si>
    <t xml:space="preserve">Cost per Unit</t>
  </si>
  <si>
    <t xml:space="preserve">Tip</t>
  </si>
  <si>
    <t xml:space="preserve">Small cup (4–6oz / espresso / cortado)</t>
  </si>
  <si>
    <t xml:space="preserve">per cup</t>
  </si>
  <si>
    <t xml:space="preserve">Buy in cases of 1000 — unit cost drops significantly</t>
  </si>
  <si>
    <t xml:space="preserve">Medium cup (8–12oz / flat white / latte)</t>
  </si>
  <si>
    <t xml:space="preserve">Your highest-volume cup — negotiate the best rate here</t>
  </si>
  <si>
    <t xml:space="preserve">Large cup (16oz / big latte / cold)</t>
  </si>
  <si>
    <t xml:space="preserve">Use for iced drinks and large format orders</t>
  </si>
  <si>
    <t xml:space="preserve">Hot lid</t>
  </si>
  <si>
    <t xml:space="preserve">per lid</t>
  </si>
  <si>
    <t xml:space="preserve">Always pair with hot cups</t>
  </si>
  <si>
    <t xml:space="preserve">Cold lid / dome lid</t>
  </si>
  <si>
    <t xml:space="preserve">For cold and blended drinks</t>
  </si>
  <si>
    <t xml:space="preserve">Sleeve / heat sleeve</t>
  </si>
  <si>
    <t xml:space="preserve">per sleeve</t>
  </si>
  <si>
    <t xml:space="preserve">Only needed for hot drinks — not every customer takes one</t>
  </si>
  <si>
    <t xml:space="preserve">Straw (paper)</t>
  </si>
  <si>
    <t xml:space="preserve">per straw</t>
  </si>
  <si>
    <t xml:space="preserve">For cold drinks; paper costs more than plastic</t>
  </si>
  <si>
    <t xml:space="preserve">Takeaway bag (for food)</t>
  </si>
  <si>
    <t xml:space="preserve">per bag</t>
  </si>
  <si>
    <t xml:space="preserve">Only if you're offering food — include in food cost</t>
  </si>
  <si>
    <t xml:space="preserve">E  —  OTHER INGREDIENTS (add your own)</t>
  </si>
  <si>
    <t xml:space="preserve">Cost</t>
  </si>
  <si>
    <t xml:space="preserve">Cost per use</t>
  </si>
  <si>
    <t xml:space="preserve">Drink Builder</t>
  </si>
  <si>
    <t xml:space="preserve">Fill in the blue cells for each drink. The cost per drink calculates automatically from your Ingredient Prices tab.</t>
  </si>
  <si>
    <t xml:space="preserve">Blue = your inputs   |   Black = calculated   |   Green = pulled from Ingredient Prices tab</t>
  </si>
  <si>
    <t xml:space="preserve">Shots: enter 1 or 2 (most drinks are 2).   Milk type: enter exactly — Dairy / Oat / Almond / Soy / Coconut / None.   Milk vol (ml): 60 = macchiato, 120 = cortado, 180 = flat white, 240 = latte, 300 = large latte.   Syrup pumps: 0 if none, 1–2 for flavoured drinks.   Cup: Small / Medium / Large.   Sleeve: Y or N.</t>
  </si>
  <si>
    <t xml:space="preserve">Drink Name</t>
  </si>
  <si>
    <t xml:space="preserve">Shots
(1 or 2)</t>
  </si>
  <si>
    <t xml:space="preserve">Milk Type
(Dairy/Oat/etc)</t>
  </si>
  <si>
    <t xml:space="preserve">Milk Vol
(ml)</t>
  </si>
  <si>
    <t xml:space="preserve">Syrup
Pumps</t>
  </si>
  <si>
    <t xml:space="preserve">Cup Size
(S/M/L)</t>
  </si>
  <si>
    <t xml:space="preserve">Sleeve?
(Y/N)</t>
  </si>
  <si>
    <t xml:space="preserve">Other Cost
($)</t>
  </si>
  <si>
    <t xml:space="preserve">Total Cost
per Drink ($)</t>
  </si>
  <si>
    <t xml:space="preserve">Espresso (single)</t>
  </si>
  <si>
    <t xml:space="preserve">None</t>
  </si>
  <si>
    <t xml:space="preserve">Small</t>
  </si>
  <si>
    <t xml:space="preserve">N</t>
  </si>
  <si>
    <t xml:space="preserve">Double espresso</t>
  </si>
  <si>
    <t xml:space="preserve">Macchiato</t>
  </si>
  <si>
    <t xml:space="preserve">Dairy</t>
  </si>
  <si>
    <t xml:space="preserve">Cortado</t>
  </si>
  <si>
    <t xml:space="preserve">Flat white</t>
  </si>
  <si>
    <t xml:space="preserve">Medium</t>
  </si>
  <si>
    <t xml:space="preserve">Y</t>
  </si>
  <si>
    <t xml:space="preserve">Flat white (oat milk)</t>
  </si>
  <si>
    <t xml:space="preserve">Oat</t>
  </si>
  <si>
    <t xml:space="preserve">Cappuccino</t>
  </si>
  <si>
    <t xml:space="preserve">Latte</t>
  </si>
  <si>
    <t xml:space="preserve">Latte (oat milk)</t>
  </si>
  <si>
    <t xml:space="preserve">Large latte</t>
  </si>
  <si>
    <t xml:space="preserve">Large</t>
  </si>
  <si>
    <t xml:space="preserve">Vanilla latte</t>
  </si>
  <si>
    <t xml:space="preserve">Batch brew / drip</t>
  </si>
  <si>
    <t xml:space="preserve">Cold brew</t>
  </si>
  <si>
    <t xml:space="preserve">Iced latte</t>
  </si>
  <si>
    <t xml:space="preserve">Matcha latte</t>
  </si>
  <si>
    <t xml:space="preserve">Chai latte</t>
  </si>
  <si>
    <t xml:space="preserve">Hot chocolate</t>
  </si>
  <si>
    <t xml:space="preserve">Signature drink</t>
  </si>
  <si>
    <t xml:space="preserve">Menu Summary</t>
  </si>
  <si>
    <t xml:space="preserve">Drink costs pull automatically from the Drink Builder. Add your selling price for each drink — margins calculate automatically.</t>
  </si>
  <si>
    <t xml:space="preserve">Green = pulled from Drink Builder   |   Blue = your selling price   |   Black = calculated</t>
  </si>
  <si>
    <t xml:space="preserve">Est. % of orders: estimate what share of your daily drink orders each item represents. All percentages should add up to 100%. This is used to calculate your weighted blended margin — the number that feeds back into your Week 2 financial model.</t>
  </si>
  <si>
    <t xml:space="preserve">Cost per Drink ($)
← from Builder</t>
  </si>
  <si>
    <t xml:space="preserve">Selling Price ($)
← enter yours</t>
  </si>
  <si>
    <t xml:space="preserve">Margin per Drink ($)</t>
  </si>
  <si>
    <t xml:space="preserve">Margin %</t>
  </si>
  <si>
    <t xml:space="preserve">Est. % of
All Orders</t>
  </si>
  <si>
    <t xml:space="preserve">Weighted Margin
Contribution</t>
  </si>
  <si>
    <t xml:space="preserve">TOTALS &amp; BLENDED MARGIN</t>
  </si>
  <si>
    <t xml:space="preserve">KEY METRICS</t>
  </si>
  <si>
    <t xml:space="preserve">Blended beverage margin</t>
  </si>
  <si>
    <t xml:space="preserve">Target: 68–75%. If below 65%, review your pricing.</t>
  </si>
  <si>
    <t xml:space="preserve">Lowest margin drink</t>
  </si>
  <si>
    <t xml:space="preserve">Watch this one — if it's a high-volume drink, it could drag down your blended margin.</t>
  </si>
  <si>
    <t xml:space="preserve">Highest margin drink</t>
  </si>
  <si>
    <t xml:space="preserve">Your most profitable drink — is it getting enough promotion?</t>
  </si>
  <si>
    <t xml:space="preserve">Drinks with margin below 65%</t>
  </si>
  <si>
    <t xml:space="preserve">Any drink below 65% margin needs a pricing review.</t>
  </si>
  <si>
    <t xml:space="preserve">% of orders column sums to</t>
  </si>
  <si>
    <t xml:space="preserve">This should equal 100% before you trust the blended margin figure.</t>
  </si>
  <si>
    <t xml:space="preserve">BENCHMARK REMINDER</t>
  </si>
  <si>
    <t xml:space="preserve">Healthy target: Blended beverage margin 68–75%  ·  Individual drink margin: ideally above 65%  ·  Blended COGS (cost as % of revenue): 25–32%  ·  Average ticket: $6–$10 for most café types.
If your blended margin is below 65%, your prices are too low, your ingredient costs are too high, or both. Go back to your Ingredient Prices tab and check your actual costs — then check your menu prices against the benchmarks in the Week 4 Reference Sheet.</t>
  </si>
</sst>
</file>

<file path=xl/styles.xml><?xml version="1.0" encoding="utf-8"?>
<styleSheet xmlns="http://schemas.openxmlformats.org/spreadsheetml/2006/main">
  <numFmts count="7">
    <numFmt numFmtId="164" formatCode="General"/>
    <numFmt numFmtId="165" formatCode="\$#,##0.00"/>
    <numFmt numFmtId="166" formatCode="\$#,##0.000"/>
    <numFmt numFmtId="167" formatCode="0.0%"/>
    <numFmt numFmtId="168" formatCode="0%"/>
    <numFmt numFmtId="169" formatCode="@"/>
    <numFmt numFmtId="170" formatCode="0"/>
  </numFmts>
  <fonts count="26">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sz val="10"/>
      <color rgb="FFAADDDD"/>
      <name val="Arial"/>
      <family val="0"/>
      <charset val="1"/>
    </font>
    <font>
      <b val="true"/>
      <sz val="9"/>
      <color rgb="FF76B39D"/>
      <name val="Arial"/>
      <family val="0"/>
      <charset val="1"/>
    </font>
    <font>
      <b val="true"/>
      <sz val="9"/>
      <color rgb="FFFFFFFF"/>
      <name val="Arial"/>
      <family val="0"/>
      <charset val="1"/>
    </font>
    <font>
      <b val="true"/>
      <sz val="9"/>
      <color rgb="FF155E63"/>
      <name val="Arial"/>
      <family val="0"/>
      <charset val="1"/>
    </font>
    <font>
      <sz val="9"/>
      <color rgb="FF1A1A1A"/>
      <name val="Arial"/>
      <family val="0"/>
      <charset val="1"/>
    </font>
    <font>
      <sz val="9"/>
      <color rgb="FF0000FF"/>
      <name val="Arial"/>
      <family val="0"/>
      <charset val="1"/>
    </font>
    <font>
      <sz val="9"/>
      <color rgb="FF000000"/>
      <name val="Arial"/>
      <family val="0"/>
      <charset val="1"/>
    </font>
    <font>
      <sz val="9"/>
      <color rgb="FF008000"/>
      <name val="Arial"/>
      <family val="0"/>
      <charset val="1"/>
    </font>
    <font>
      <b val="true"/>
      <sz val="9"/>
      <color rgb="FF7A5120"/>
      <name val="Arial"/>
      <family val="0"/>
      <charset val="1"/>
    </font>
    <font>
      <sz val="9"/>
      <color rgb="FF7A5120"/>
      <name val="Arial"/>
      <family val="0"/>
      <charset val="1"/>
    </font>
    <font>
      <b val="true"/>
      <sz val="18"/>
      <color rgb="FFFFFFFF"/>
      <name val="Arial"/>
      <family val="0"/>
      <charset val="1"/>
    </font>
    <font>
      <sz val="9"/>
      <color rgb="FFC8E6E8"/>
      <name val="Arial"/>
      <family val="0"/>
      <charset val="1"/>
    </font>
    <font>
      <sz val="8"/>
      <color rgb="FFAADDDD"/>
      <name val="Arial"/>
      <family val="0"/>
      <charset val="1"/>
    </font>
    <font>
      <b val="true"/>
      <sz val="8"/>
      <color rgb="FF1A1A1A"/>
      <name val="Arial"/>
      <family val="0"/>
      <charset val="1"/>
    </font>
    <font>
      <i val="true"/>
      <sz val="9"/>
      <color rgb="FF1A1A1A"/>
      <name val="Arial"/>
      <family val="0"/>
      <charset val="1"/>
    </font>
    <font>
      <b val="true"/>
      <sz val="9"/>
      <color rgb="FF1A1A1A"/>
      <name val="Arial"/>
      <family val="0"/>
      <charset val="1"/>
    </font>
    <font>
      <b val="true"/>
      <sz val="9"/>
      <color rgb="FF000000"/>
      <name val="Arial"/>
      <family val="0"/>
      <charset val="1"/>
    </font>
    <font>
      <i val="true"/>
      <sz val="8"/>
      <color rgb="FFAFAFAF"/>
      <name val="Arial"/>
      <family val="0"/>
      <charset val="1"/>
    </font>
    <font>
      <sz val="9"/>
      <color rgb="FFAFAFAF"/>
      <name val="Arial"/>
      <family val="0"/>
      <charset val="1"/>
    </font>
    <font>
      <b val="true"/>
      <sz val="8"/>
      <color rgb="FFFFFFFF"/>
      <name val="Arial"/>
      <family val="0"/>
      <charset val="1"/>
    </font>
    <font>
      <b val="true"/>
      <sz val="10"/>
      <color rgb="FF000000"/>
      <name val="Arial"/>
      <family val="0"/>
      <charset val="1"/>
    </font>
  </fonts>
  <fills count="9">
    <fill>
      <patternFill patternType="none"/>
    </fill>
    <fill>
      <patternFill patternType="gray125"/>
    </fill>
    <fill>
      <patternFill patternType="solid">
        <fgColor rgb="FF155E63"/>
        <bgColor rgb="FF008080"/>
      </patternFill>
    </fill>
    <fill>
      <patternFill patternType="solid">
        <fgColor rgb="FF76B39D"/>
        <bgColor rgb="FFAFAFAF"/>
      </patternFill>
    </fill>
    <fill>
      <patternFill patternType="solid">
        <fgColor rgb="FFEFEFEF"/>
        <bgColor rgb="FFEBF4F5"/>
      </patternFill>
    </fill>
    <fill>
      <patternFill patternType="solid">
        <fgColor rgb="FFFFFFFF"/>
        <bgColor rgb="FFFFF8EE"/>
      </patternFill>
    </fill>
    <fill>
      <patternFill patternType="solid">
        <fgColor rgb="FFEBF4F5"/>
        <bgColor rgb="FFEFEFEF"/>
      </patternFill>
    </fill>
    <fill>
      <patternFill patternType="solid">
        <fgColor rgb="FFFFFFE0"/>
        <bgColor rgb="FFFFF8EE"/>
      </patternFill>
    </fill>
    <fill>
      <patternFill patternType="solid">
        <fgColor rgb="FFFFF8EE"/>
        <bgColor rgb="FFFFFFE0"/>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13" fillId="8" borderId="1" xfId="0" applyFont="true" applyBorder="true" applyAlignment="true" applyProtection="false">
      <alignment horizontal="left" vertical="center" textRotation="0" wrapText="false" indent="0" shrinkToFit="false"/>
      <protection locked="true" hidden="false"/>
    </xf>
    <xf numFmtId="164" fontId="14" fillId="8" borderId="1"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5" fontId="10" fillId="7" borderId="1" xfId="0" applyFont="true" applyBorder="true" applyAlignment="true" applyProtection="false">
      <alignment horizontal="right"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left" vertical="center" textRotation="0" wrapText="false" indent="0" shrinkToFit="false"/>
      <protection locked="true" hidden="false"/>
    </xf>
    <xf numFmtId="164" fontId="20" fillId="6" borderId="1" xfId="0" applyFont="true" applyBorder="true" applyAlignment="true" applyProtection="false">
      <alignment horizontal="left" vertical="center" textRotation="0" wrapText="false" indent="0" shrinkToFit="false"/>
      <protection locked="true" hidden="false"/>
    </xf>
    <xf numFmtId="165" fontId="21" fillId="6" borderId="1" xfId="0" applyFont="true" applyBorder="true" applyAlignment="true" applyProtection="false">
      <alignment horizontal="right" vertical="center" textRotation="0" wrapText="false" indent="0" shrinkToFit="false"/>
      <protection locked="true" hidden="false"/>
    </xf>
    <xf numFmtId="164" fontId="22" fillId="6" borderId="2"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22" fillId="5"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5" fontId="10" fillId="6" borderId="1" xfId="0" applyFont="true" applyBorder="true" applyAlignment="true" applyProtection="false">
      <alignment horizontal="right" vertical="center" textRotation="0" wrapText="false" indent="0" shrinkToFit="false"/>
      <protection locked="true" hidden="false"/>
    </xf>
    <xf numFmtId="166" fontId="21" fillId="6" borderId="1" xfId="0" applyFont="true" applyBorder="true" applyAlignment="true" applyProtection="false">
      <alignment horizontal="right" vertical="center" textRotation="0" wrapText="false" indent="0" shrinkToFit="false"/>
      <protection locked="true" hidden="false"/>
    </xf>
    <xf numFmtId="164" fontId="22" fillId="5" borderId="1" xfId="0" applyFont="true" applyBorder="true" applyAlignment="true" applyProtection="false">
      <alignment horizontal="left"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64" fontId="22" fillId="4" borderId="1" xfId="0" applyFont="true" applyBorder="true" applyAlignment="true" applyProtection="false">
      <alignment horizontal="center" vertical="center" textRotation="0" wrapText="fals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4" fontId="22" fillId="5" borderId="2"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right" vertical="center" textRotation="0" wrapText="false" indent="0" shrinkToFit="false"/>
      <protection locked="true" hidden="false"/>
    </xf>
    <xf numFmtId="164" fontId="22" fillId="4" borderId="0" xfId="0" applyFont="true" applyBorder="true" applyAlignment="true" applyProtection="false">
      <alignment horizontal="left" vertical="center" textRotation="0" wrapText="true" indent="0" shrinkToFit="false"/>
      <protection locked="true" hidden="false"/>
    </xf>
    <xf numFmtId="164" fontId="24" fillId="2" borderId="1" xfId="0" applyFont="true" applyBorder="true" applyAlignment="true" applyProtection="false">
      <alignment horizontal="center" vertical="center" textRotation="0" wrapText="true" indent="0" shrinkToFit="false"/>
      <protection locked="true" hidden="false"/>
    </xf>
    <xf numFmtId="165" fontId="21" fillId="4"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5" fontId="12" fillId="5" borderId="1" xfId="0" applyFont="true" applyBorder="true" applyAlignment="true" applyProtection="false">
      <alignment horizontal="right" vertical="center" textRotation="0" wrapText="false" indent="0" shrinkToFit="false"/>
      <protection locked="true" hidden="false"/>
    </xf>
    <xf numFmtId="165" fontId="11" fillId="5" borderId="1" xfId="0" applyFont="true" applyBorder="true" applyAlignment="true" applyProtection="false">
      <alignment horizontal="right" vertical="center" textRotation="0" wrapText="false" indent="0" shrinkToFit="false"/>
      <protection locked="true" hidden="false"/>
    </xf>
    <xf numFmtId="167" fontId="11" fillId="5" borderId="1" xfId="0" applyFont="true" applyBorder="true" applyAlignment="true" applyProtection="false">
      <alignment horizontal="right" vertical="center" textRotation="0" wrapText="false" indent="0" shrinkToFit="false"/>
      <protection locked="true" hidden="false"/>
    </xf>
    <xf numFmtId="168" fontId="10" fillId="6" borderId="1" xfId="0" applyFont="true" applyBorder="true" applyAlignment="true" applyProtection="false">
      <alignment horizontal="right" vertical="center" textRotation="0" wrapText="false" indent="0" shrinkToFit="false"/>
      <protection locked="true" hidden="false"/>
    </xf>
    <xf numFmtId="165" fontId="12" fillId="4" borderId="1" xfId="0" applyFont="true" applyBorder="true" applyAlignment="true" applyProtection="false">
      <alignment horizontal="right" vertical="center" textRotation="0" wrapText="false" indent="0" shrinkToFit="false"/>
      <protection locked="true" hidden="false"/>
    </xf>
    <xf numFmtId="165" fontId="11" fillId="4" borderId="1" xfId="0" applyFont="true" applyBorder="true" applyAlignment="true" applyProtection="false">
      <alignment horizontal="right" vertical="center" textRotation="0" wrapText="false" indent="0" shrinkToFit="false"/>
      <protection locked="true" hidden="false"/>
    </xf>
    <xf numFmtId="167" fontId="11" fillId="4" borderId="1" xfId="0" applyFont="true" applyBorder="true" applyAlignment="true" applyProtection="false">
      <alignment horizontal="right" vertical="center" textRotation="0" wrapText="false" indent="0" shrinkToFit="false"/>
      <protection locked="true" hidden="false"/>
    </xf>
    <xf numFmtId="164" fontId="7" fillId="2" borderId="2" xfId="0" applyFont="true" applyBorder="true" applyAlignment="true" applyProtection="false">
      <alignment horizontal="right" vertical="center" textRotation="0" wrapText="false" indent="0" shrinkToFit="false"/>
      <protection locked="true" hidden="false"/>
    </xf>
    <xf numFmtId="168" fontId="21" fillId="2" borderId="1" xfId="0" applyFont="true" applyBorder="true" applyAlignment="true" applyProtection="false">
      <alignment horizontal="right" vertical="center" textRotation="0" wrapText="false" indent="0" shrinkToFit="false"/>
      <protection locked="true" hidden="false"/>
    </xf>
    <xf numFmtId="167" fontId="25" fillId="3" borderId="1" xfId="0" applyFont="true" applyBorder="true" applyAlignment="true" applyProtection="false">
      <alignment horizontal="right" vertical="center" textRotation="0" wrapText="false" indent="0" shrinkToFit="false"/>
      <protection locked="true" hidden="false"/>
    </xf>
    <xf numFmtId="164" fontId="20" fillId="4" borderId="1" xfId="0" applyFont="true" applyBorder="true" applyAlignment="true" applyProtection="false">
      <alignment horizontal="left" vertical="center" textRotation="0" wrapText="false" indent="0" shrinkToFit="false"/>
      <protection locked="true" hidden="false"/>
    </xf>
    <xf numFmtId="167" fontId="25" fillId="6" borderId="1" xfId="0" applyFont="true" applyBorder="true" applyAlignment="true" applyProtection="false">
      <alignment horizontal="right" vertical="center" textRotation="0" wrapText="false" indent="0" shrinkToFit="false"/>
      <protection locked="true" hidden="false"/>
    </xf>
    <xf numFmtId="169" fontId="25" fillId="6" borderId="1" xfId="0" applyFont="true" applyBorder="true" applyAlignment="true" applyProtection="false">
      <alignment horizontal="right" vertical="center" textRotation="0" wrapText="false" indent="0" shrinkToFit="false"/>
      <protection locked="true" hidden="false"/>
    </xf>
    <xf numFmtId="170" fontId="25" fillId="6" borderId="1" xfId="0" applyFont="true" applyBorder="true" applyAlignment="true" applyProtection="false">
      <alignment horizontal="right" vertical="center" textRotation="0" wrapText="false" indent="0" shrinkToFit="false"/>
      <protection locked="true" hidden="false"/>
    </xf>
    <xf numFmtId="168" fontId="25" fillId="6" borderId="1" xfId="0" applyFont="true" applyBorder="true" applyAlignment="true" applyProtection="false">
      <alignment horizontal="right" vertical="center" textRotation="0" wrapText="false" indent="0" shrinkToFit="false"/>
      <protection locked="true" hidden="false"/>
    </xf>
    <xf numFmtId="164" fontId="13" fillId="8" borderId="0" xfId="0" applyFont="true" applyBorder="true" applyAlignment="true" applyProtection="false">
      <alignment horizontal="left" vertical="center" textRotation="0" wrapText="false" indent="0" shrinkToFit="false"/>
      <protection locked="true" hidden="false"/>
    </xf>
    <xf numFmtId="164" fontId="14" fillId="8"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5E63"/>
      <rgbColor rgb="FFCCCCCC"/>
      <rgbColor rgb="FF76B39D"/>
      <rgbColor rgb="FF9999FF"/>
      <rgbColor rgb="FF993366"/>
      <rgbColor rgb="FFFFFFE0"/>
      <rgbColor rgb="FFEBF4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8E6E8"/>
      <rgbColor rgb="FFEFEFEF"/>
      <rgbColor rgb="FFFFF8EE"/>
      <rgbColor rgb="FFAADDDD"/>
      <rgbColor rgb="FFFF99CC"/>
      <rgbColor rgb="FFCC99FF"/>
      <rgbColor rgb="FFFFCC99"/>
      <rgbColor rgb="FF3366FF"/>
      <rgbColor rgb="FF33CCCC"/>
      <rgbColor rgb="FF99CC00"/>
      <rgbColor rgb="FFFFCC00"/>
      <rgbColor rgb="FFFF9900"/>
      <rgbColor rgb="FFFF6600"/>
      <rgbColor rgb="FF666699"/>
      <rgbColor rgb="FFAFAFAF"/>
      <rgbColor rgb="FF003366"/>
      <rgbColor rgb="FF339966"/>
      <rgbColor rgb="FF003300"/>
      <rgbColor rgb="FF333300"/>
      <rgbColor rgb="FF7A512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5E63"/>
    <pageSetUpPr fitToPage="false"/>
  </sheetPr>
  <dimension ref="B1:E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52"/>
    <col collapsed="false" customWidth="true" hidden="false" outlineLevel="0" max="5" min="4" style="0" width="18"/>
    <col collapsed="false" customWidth="true" hidden="false" outlineLevel="0" max="6" min="6" style="0" width="2"/>
  </cols>
  <sheetData>
    <row r="1" customFormat="false" ht="7.5" hidden="false" customHeight="true" outlineLevel="0" collapsed="false"/>
    <row r="2" customFormat="false" ht="54" hidden="false" customHeight="true" outlineLevel="0" collapsed="false">
      <c r="B2" s="1" t="s">
        <v>0</v>
      </c>
      <c r="C2" s="1"/>
      <c r="D2" s="1"/>
      <c r="E2" s="1"/>
    </row>
    <row r="3" customFormat="false" ht="27.75" hidden="false" customHeight="true" outlineLevel="0" collapsed="false">
      <c r="B3" s="2" t="s">
        <v>1</v>
      </c>
      <c r="C3" s="2"/>
      <c r="D3" s="2"/>
      <c r="E3" s="2"/>
    </row>
    <row r="4" customFormat="false" ht="21.75" hidden="false" customHeight="true" outlineLevel="0" collapsed="false">
      <c r="B4" s="3" t="s">
        <v>2</v>
      </c>
      <c r="C4" s="3"/>
      <c r="D4" s="3"/>
      <c r="E4" s="3"/>
    </row>
    <row r="5" customFormat="false" ht="13.5" hidden="false" customHeight="true" outlineLevel="0" collapsed="false">
      <c r="B5" s="4"/>
      <c r="C5" s="4"/>
      <c r="D5" s="4"/>
      <c r="E5" s="4"/>
    </row>
    <row r="7" customFormat="false" ht="18" hidden="false" customHeight="true" outlineLevel="0" collapsed="false">
      <c r="B7" s="5" t="s">
        <v>3</v>
      </c>
      <c r="C7" s="5"/>
      <c r="D7" s="5"/>
      <c r="E7" s="5"/>
    </row>
    <row r="8" customFormat="false" ht="13.5" hidden="false" customHeight="true" outlineLevel="0" collapsed="false">
      <c r="B8" s="6" t="s">
        <v>4</v>
      </c>
      <c r="C8" s="6"/>
      <c r="D8" s="6"/>
      <c r="E8" s="6"/>
    </row>
    <row r="9" customFormat="false" ht="42" hidden="false" customHeight="true" outlineLevel="0" collapsed="false">
      <c r="B9" s="7" t="s">
        <v>5</v>
      </c>
      <c r="C9" s="7"/>
      <c r="D9" s="7"/>
      <c r="E9" s="7"/>
    </row>
    <row r="10" customFormat="false" ht="6" hidden="false" customHeight="true" outlineLevel="0" collapsed="false"/>
    <row r="11" customFormat="false" ht="13.5" hidden="false" customHeight="true" outlineLevel="0" collapsed="false">
      <c r="B11" s="6" t="s">
        <v>6</v>
      </c>
      <c r="C11" s="6"/>
      <c r="D11" s="6"/>
      <c r="E11" s="6"/>
    </row>
    <row r="12" customFormat="false" ht="42" hidden="false" customHeight="true" outlineLevel="0" collapsed="false">
      <c r="B12" s="7" t="s">
        <v>7</v>
      </c>
      <c r="C12" s="7"/>
      <c r="D12" s="7"/>
      <c r="E12" s="7"/>
    </row>
    <row r="13" customFormat="false" ht="6" hidden="false" customHeight="true" outlineLevel="0" collapsed="false"/>
    <row r="14" customFormat="false" ht="13.5" hidden="false" customHeight="true" outlineLevel="0" collapsed="false">
      <c r="B14" s="6" t="s">
        <v>8</v>
      </c>
      <c r="C14" s="6"/>
      <c r="D14" s="6"/>
      <c r="E14" s="6"/>
    </row>
    <row r="15" customFormat="false" ht="42" hidden="false" customHeight="true" outlineLevel="0" collapsed="false">
      <c r="B15" s="7" t="s">
        <v>9</v>
      </c>
      <c r="C15" s="7"/>
      <c r="D15" s="7"/>
      <c r="E15" s="7"/>
    </row>
    <row r="16" customFormat="false" ht="6" hidden="false" customHeight="true" outlineLevel="0" collapsed="false"/>
    <row r="17" customFormat="false" ht="13.5" hidden="false" customHeight="true" outlineLevel="0" collapsed="false">
      <c r="B17" s="6" t="s">
        <v>10</v>
      </c>
      <c r="C17" s="6"/>
      <c r="D17" s="6"/>
      <c r="E17" s="6"/>
    </row>
    <row r="18" customFormat="false" ht="42" hidden="false" customHeight="true" outlineLevel="0" collapsed="false">
      <c r="B18" s="7" t="s">
        <v>11</v>
      </c>
      <c r="C18" s="7"/>
      <c r="D18" s="7"/>
      <c r="E18" s="7"/>
    </row>
    <row r="19" customFormat="false" ht="6" hidden="false" customHeight="true" outlineLevel="0" collapsed="false"/>
    <row r="21" customFormat="false" ht="18" hidden="false" customHeight="true" outlineLevel="0" collapsed="false">
      <c r="B21" s="8" t="s">
        <v>12</v>
      </c>
      <c r="C21" s="8"/>
      <c r="D21" s="8"/>
      <c r="E21" s="8"/>
    </row>
    <row r="22" customFormat="false" ht="19.5" hidden="false" customHeight="true" outlineLevel="0" collapsed="false">
      <c r="B22" s="9" t="s">
        <v>13</v>
      </c>
      <c r="C22" s="10" t="s">
        <v>14</v>
      </c>
      <c r="D22" s="10"/>
      <c r="E22" s="10"/>
    </row>
    <row r="23" customFormat="false" ht="19.5" hidden="false" customHeight="true" outlineLevel="0" collapsed="false">
      <c r="B23" s="11" t="s">
        <v>15</v>
      </c>
      <c r="C23" s="10" t="s">
        <v>16</v>
      </c>
      <c r="D23" s="10"/>
      <c r="E23" s="10"/>
    </row>
    <row r="24" customFormat="false" ht="19.5" hidden="false" customHeight="true" outlineLevel="0" collapsed="false">
      <c r="B24" s="12" t="s">
        <v>17</v>
      </c>
      <c r="C24" s="10" t="s">
        <v>18</v>
      </c>
      <c r="D24" s="10"/>
      <c r="E24" s="10"/>
    </row>
    <row r="25" customFormat="false" ht="19.5" hidden="false" customHeight="true" outlineLevel="0" collapsed="false">
      <c r="B25" s="13" t="s">
        <v>19</v>
      </c>
      <c r="C25" s="10" t="s">
        <v>20</v>
      </c>
      <c r="D25" s="10"/>
      <c r="E25" s="10"/>
    </row>
    <row r="27" customFormat="false" ht="13.5" hidden="false" customHeight="true" outlineLevel="0" collapsed="false">
      <c r="B27" s="14" t="s">
        <v>21</v>
      </c>
      <c r="C27" s="14"/>
      <c r="D27" s="14"/>
      <c r="E27" s="14"/>
    </row>
    <row r="28" customFormat="false" ht="54" hidden="false" customHeight="true" outlineLevel="0" collapsed="false">
      <c r="B28" s="15" t="s">
        <v>22</v>
      </c>
      <c r="C28" s="15"/>
      <c r="D28" s="15"/>
      <c r="E28" s="15"/>
    </row>
  </sheetData>
  <mergeCells count="19">
    <mergeCell ref="B2:E2"/>
    <mergeCell ref="B3:E3"/>
    <mergeCell ref="B4:E4"/>
    <mergeCell ref="B7:E7"/>
    <mergeCell ref="B8:E8"/>
    <mergeCell ref="B9:E9"/>
    <mergeCell ref="B11:E11"/>
    <mergeCell ref="B12:E12"/>
    <mergeCell ref="B14:E14"/>
    <mergeCell ref="B15:E15"/>
    <mergeCell ref="B17:E17"/>
    <mergeCell ref="B18:E18"/>
    <mergeCell ref="B21:E21"/>
    <mergeCell ref="C22:E22"/>
    <mergeCell ref="C23:E23"/>
    <mergeCell ref="C24:E24"/>
    <mergeCell ref="C25:E25"/>
    <mergeCell ref="B27:E27"/>
    <mergeCell ref="B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39D"/>
    <pageSetUpPr fitToPage="false"/>
  </sheetPr>
  <dimension ref="B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5" min="3" style="0" width="22"/>
    <col collapsed="false" customWidth="true" hidden="false" outlineLevel="0" max="6" min="6" style="0" width="28"/>
    <col collapsed="false" customWidth="true" hidden="false" outlineLevel="0" max="7" min="7" style="0" width="2"/>
  </cols>
  <sheetData>
    <row r="1" customFormat="false" ht="7.5" hidden="false" customHeight="true" outlineLevel="0" collapsed="false"/>
    <row r="2" customFormat="false" ht="43.5" hidden="false" customHeight="true" outlineLevel="0" collapsed="false">
      <c r="B2" s="16" t="s">
        <v>23</v>
      </c>
      <c r="C2" s="16"/>
      <c r="D2" s="16"/>
      <c r="E2" s="16"/>
      <c r="F2" s="16"/>
    </row>
    <row r="3" customFormat="false" ht="21.75" hidden="false" customHeight="true" outlineLevel="0" collapsed="false">
      <c r="B3" s="17" t="s">
        <v>24</v>
      </c>
      <c r="C3" s="17"/>
      <c r="D3" s="17"/>
      <c r="E3" s="17"/>
      <c r="F3" s="17"/>
    </row>
    <row r="4" customFormat="false" ht="13.5" hidden="false" customHeight="true" outlineLevel="0" collapsed="false">
      <c r="B4" s="18" t="s">
        <v>25</v>
      </c>
      <c r="C4" s="18"/>
      <c r="D4" s="18"/>
      <c r="E4" s="18"/>
      <c r="F4" s="18"/>
    </row>
    <row r="6" customFormat="false" ht="18" hidden="false" customHeight="true" outlineLevel="0" collapsed="false">
      <c r="B6" s="5" t="s">
        <v>26</v>
      </c>
      <c r="C6" s="5"/>
      <c r="D6" s="5"/>
      <c r="E6" s="5"/>
      <c r="F6" s="5"/>
    </row>
    <row r="7" customFormat="false" ht="15" hidden="false" customHeight="false" outlineLevel="0" collapsed="false">
      <c r="B7" s="19" t="s">
        <v>27</v>
      </c>
      <c r="C7" s="19" t="s">
        <v>28</v>
      </c>
      <c r="D7" s="19" t="s">
        <v>29</v>
      </c>
      <c r="E7" s="19" t="s">
        <v>30</v>
      </c>
      <c r="F7" s="19" t="s">
        <v>31</v>
      </c>
    </row>
    <row r="8" customFormat="false" ht="19.5" hidden="false" customHeight="true" outlineLevel="0" collapsed="false">
      <c r="B8" s="10" t="s">
        <v>32</v>
      </c>
      <c r="C8" s="20" t="n">
        <v>14</v>
      </c>
      <c r="D8" s="21" t="s">
        <v>33</v>
      </c>
      <c r="E8" s="22" t="n">
        <v>18</v>
      </c>
      <c r="F8" s="23" t="s">
        <v>34</v>
      </c>
    </row>
    <row r="9" customFormat="false" ht="19.5" hidden="false" customHeight="true" outlineLevel="0" collapsed="false">
      <c r="B9" s="10" t="s">
        <v>35</v>
      </c>
      <c r="C9" s="20" t="n">
        <v>18</v>
      </c>
      <c r="D9" s="21" t="s">
        <v>33</v>
      </c>
      <c r="E9" s="22" t="n">
        <v>15</v>
      </c>
      <c r="F9" s="23" t="s">
        <v>36</v>
      </c>
    </row>
    <row r="10" customFormat="false" ht="19.5" hidden="false" customHeight="true" outlineLevel="0" collapsed="false">
      <c r="B10" s="10" t="s">
        <v>37</v>
      </c>
      <c r="C10" s="20" t="n">
        <v>16</v>
      </c>
      <c r="D10" s="21" t="s">
        <v>33</v>
      </c>
      <c r="E10" s="22" t="n">
        <v>18</v>
      </c>
      <c r="F10" s="23" t="s">
        <v>34</v>
      </c>
    </row>
    <row r="11" customFormat="false" ht="19.5" hidden="false" customHeight="true" outlineLevel="0" collapsed="false">
      <c r="B11" s="24" t="s">
        <v>38</v>
      </c>
      <c r="C11" s="25" t="n">
        <f aca="false">C8/1000*E8*1.15</f>
        <v>0.2898</v>
      </c>
      <c r="D11" s="26" t="s">
        <v>39</v>
      </c>
      <c r="E11" s="26"/>
      <c r="F11" s="26"/>
    </row>
    <row r="12" customFormat="false" ht="19.5" hidden="false" customHeight="true" outlineLevel="0" collapsed="false">
      <c r="B12" s="24" t="s">
        <v>40</v>
      </c>
      <c r="C12" s="25" t="n">
        <f aca="false">C9/1000*E9*1.1</f>
        <v>0.297</v>
      </c>
      <c r="D12" s="26" t="s">
        <v>41</v>
      </c>
      <c r="E12" s="26"/>
      <c r="F12" s="26"/>
    </row>
    <row r="14" customFormat="false" ht="18" hidden="false" customHeight="true" outlineLevel="0" collapsed="false">
      <c r="B14" s="5" t="s">
        <v>42</v>
      </c>
      <c r="C14" s="5"/>
      <c r="D14" s="5"/>
      <c r="E14" s="5"/>
      <c r="F14" s="5"/>
    </row>
    <row r="15" customFormat="false" ht="15" hidden="false" customHeight="false" outlineLevel="0" collapsed="false">
      <c r="B15" s="19" t="s">
        <v>43</v>
      </c>
      <c r="C15" s="19" t="s">
        <v>44</v>
      </c>
      <c r="D15" s="19" t="s">
        <v>29</v>
      </c>
      <c r="E15" s="19" t="s">
        <v>45</v>
      </c>
      <c r="F15" s="19" t="s">
        <v>46</v>
      </c>
    </row>
    <row r="16" customFormat="false" ht="19.5" hidden="false" customHeight="true" outlineLevel="0" collapsed="false">
      <c r="B16" s="10" t="s">
        <v>47</v>
      </c>
      <c r="C16" s="20" t="n">
        <v>1.2</v>
      </c>
      <c r="D16" s="21" t="s">
        <v>48</v>
      </c>
      <c r="E16" s="27" t="str">
        <f aca="false">IF(C16=C16,"-",TEXT(C16/C16-1,"0%")&amp;" more than dairy")</f>
        <v>-</v>
      </c>
      <c r="F16" s="28" t="s">
        <v>49</v>
      </c>
    </row>
    <row r="17" customFormat="false" ht="19.5" hidden="false" customHeight="true" outlineLevel="0" collapsed="false">
      <c r="B17" s="10" t="s">
        <v>50</v>
      </c>
      <c r="C17" s="20" t="n">
        <v>2.8</v>
      </c>
      <c r="D17" s="21" t="s">
        <v>48</v>
      </c>
      <c r="E17" s="27" t="str">
        <f aca="false">IF(C17=C16,"-",TEXT(C17/C16-1,"0%")&amp;" more than dairy")</f>
        <v>133% more than dairy</v>
      </c>
      <c r="F17" s="28" t="s">
        <v>51</v>
      </c>
    </row>
    <row r="18" customFormat="false" ht="19.5" hidden="false" customHeight="true" outlineLevel="0" collapsed="false">
      <c r="B18" s="10" t="s">
        <v>52</v>
      </c>
      <c r="C18" s="20" t="n">
        <v>2.5</v>
      </c>
      <c r="D18" s="21" t="s">
        <v>48</v>
      </c>
      <c r="E18" s="27" t="str">
        <f aca="false">IF(C18=C16,"-",TEXT(C18/C16-1,"0%")&amp;" more than dairy")</f>
        <v>108% more than dairy</v>
      </c>
      <c r="F18" s="28" t="s">
        <v>53</v>
      </c>
    </row>
    <row r="19" customFormat="false" ht="19.5" hidden="false" customHeight="true" outlineLevel="0" collapsed="false">
      <c r="B19" s="10" t="s">
        <v>54</v>
      </c>
      <c r="C19" s="20" t="n">
        <v>2.2</v>
      </c>
      <c r="D19" s="21" t="s">
        <v>48</v>
      </c>
      <c r="E19" s="27" t="str">
        <f aca="false">IF(C19=C16,"-",TEXT(C19/C16-1,"0%")&amp;" more than dairy")</f>
        <v>83% more than dairy</v>
      </c>
      <c r="F19" s="28" t="s">
        <v>55</v>
      </c>
    </row>
    <row r="20" customFormat="false" ht="19.5" hidden="false" customHeight="true" outlineLevel="0" collapsed="false">
      <c r="B20" s="10" t="s">
        <v>56</v>
      </c>
      <c r="C20" s="20" t="n">
        <v>2.6</v>
      </c>
      <c r="D20" s="21" t="s">
        <v>48</v>
      </c>
      <c r="E20" s="27" t="str">
        <f aca="false">IF(C20=C16,"-",TEXT(C20/C16-1,"0%")&amp;" more than dairy")</f>
        <v>117% more than dairy</v>
      </c>
      <c r="F20" s="28" t="s">
        <v>57</v>
      </c>
    </row>
    <row r="21" customFormat="false" ht="19.5" hidden="false" customHeight="true" outlineLevel="0" collapsed="false">
      <c r="B21" s="24" t="s">
        <v>58</v>
      </c>
      <c r="C21" s="25" t="n">
        <f aca="false">C16/1000*180</f>
        <v>0.216</v>
      </c>
      <c r="D21" s="26" t="s">
        <v>59</v>
      </c>
      <c r="E21" s="26"/>
      <c r="F21" s="26"/>
    </row>
    <row r="22" customFormat="false" ht="19.5" hidden="false" customHeight="true" outlineLevel="0" collapsed="false">
      <c r="B22" s="24" t="s">
        <v>60</v>
      </c>
      <c r="C22" s="25" t="n">
        <f aca="false">C17/1000*180</f>
        <v>0.504</v>
      </c>
      <c r="D22" s="26" t="s">
        <v>61</v>
      </c>
      <c r="E22" s="26"/>
      <c r="F22" s="26"/>
    </row>
    <row r="24" customFormat="false" ht="18" hidden="false" customHeight="true" outlineLevel="0" collapsed="false">
      <c r="B24" s="8" t="s">
        <v>62</v>
      </c>
      <c r="C24" s="8"/>
      <c r="D24" s="8"/>
      <c r="E24" s="8"/>
      <c r="F24" s="8"/>
    </row>
    <row r="25" customFormat="false" ht="15" hidden="false" customHeight="false" outlineLevel="0" collapsed="false">
      <c r="B25" s="19" t="s">
        <v>27</v>
      </c>
      <c r="C25" s="19" t="s">
        <v>63</v>
      </c>
      <c r="D25" s="19" t="s">
        <v>64</v>
      </c>
      <c r="E25" s="19" t="s">
        <v>65</v>
      </c>
      <c r="F25" s="19" t="s">
        <v>46</v>
      </c>
    </row>
    <row r="26" customFormat="false" ht="19.5" hidden="false" customHeight="true" outlineLevel="0" collapsed="false">
      <c r="B26" s="29" t="s">
        <v>66</v>
      </c>
      <c r="C26" s="30" t="n">
        <v>18</v>
      </c>
      <c r="D26" s="22" t="n">
        <v>100</v>
      </c>
      <c r="E26" s="31" t="n">
        <f aca="false">C26/D26</f>
        <v>0.18</v>
      </c>
      <c r="F26" s="32" t="s">
        <v>67</v>
      </c>
    </row>
    <row r="27" customFormat="false" ht="19.5" hidden="false" customHeight="true" outlineLevel="0" collapsed="false">
      <c r="B27" s="29" t="s">
        <v>68</v>
      </c>
      <c r="C27" s="30" t="n">
        <v>4</v>
      </c>
      <c r="D27" s="22" t="n">
        <v>100</v>
      </c>
      <c r="E27" s="31" t="n">
        <f aca="false">C27/D27</f>
        <v>0.04</v>
      </c>
      <c r="F27" s="32" t="s">
        <v>69</v>
      </c>
    </row>
    <row r="28" customFormat="false" ht="19.5" hidden="false" customHeight="true" outlineLevel="0" collapsed="false">
      <c r="B28" s="29" t="s">
        <v>70</v>
      </c>
      <c r="C28" s="30" t="n">
        <v>28</v>
      </c>
      <c r="D28" s="33" t="s">
        <v>71</v>
      </c>
      <c r="E28" s="34" t="s">
        <v>72</v>
      </c>
      <c r="F28" s="32" t="s">
        <v>73</v>
      </c>
    </row>
    <row r="29" customFormat="false" ht="19.5" hidden="false" customHeight="true" outlineLevel="0" collapsed="false">
      <c r="B29" s="29" t="s">
        <v>74</v>
      </c>
      <c r="C29" s="30" t="n">
        <v>12</v>
      </c>
      <c r="D29" s="33" t="s">
        <v>71</v>
      </c>
      <c r="E29" s="34" t="s">
        <v>72</v>
      </c>
      <c r="F29" s="32" t="s">
        <v>75</v>
      </c>
    </row>
    <row r="30" customFormat="false" ht="19.5" hidden="false" customHeight="true" outlineLevel="0" collapsed="false">
      <c r="B30" s="29" t="s">
        <v>76</v>
      </c>
      <c r="C30" s="30" t="n">
        <v>14</v>
      </c>
      <c r="D30" s="33" t="s">
        <v>71</v>
      </c>
      <c r="E30" s="34" t="s">
        <v>72</v>
      </c>
      <c r="F30" s="32" t="s">
        <v>77</v>
      </c>
    </row>
    <row r="31" customFormat="false" ht="19.5" hidden="false" customHeight="true" outlineLevel="0" collapsed="false">
      <c r="B31" s="29" t="s">
        <v>78</v>
      </c>
      <c r="C31" s="30" t="n">
        <v>22</v>
      </c>
      <c r="D31" s="33" t="s">
        <v>71</v>
      </c>
      <c r="E31" s="34" t="s">
        <v>72</v>
      </c>
      <c r="F31" s="32" t="s">
        <v>79</v>
      </c>
    </row>
    <row r="33" customFormat="false" ht="18" hidden="false" customHeight="true" outlineLevel="0" collapsed="false">
      <c r="B33" s="5" t="s">
        <v>80</v>
      </c>
      <c r="C33" s="5"/>
      <c r="D33" s="5"/>
      <c r="E33" s="5"/>
      <c r="F33" s="5"/>
    </row>
    <row r="34" customFormat="false" ht="15" hidden="false" customHeight="false" outlineLevel="0" collapsed="false">
      <c r="B34" s="19" t="s">
        <v>81</v>
      </c>
      <c r="C34" s="19" t="s">
        <v>82</v>
      </c>
      <c r="D34" s="19" t="s">
        <v>29</v>
      </c>
      <c r="E34" s="19" t="s">
        <v>83</v>
      </c>
      <c r="F34" s="19"/>
    </row>
    <row r="35" customFormat="false" ht="19.5" hidden="false" customHeight="true" outlineLevel="0" collapsed="false">
      <c r="B35" s="10" t="s">
        <v>84</v>
      </c>
      <c r="C35" s="35" t="n">
        <v>0.12</v>
      </c>
      <c r="D35" s="21" t="s">
        <v>85</v>
      </c>
      <c r="E35" s="36" t="s">
        <v>86</v>
      </c>
      <c r="F35" s="36"/>
    </row>
    <row r="36" customFormat="false" ht="19.5" hidden="false" customHeight="true" outlineLevel="0" collapsed="false">
      <c r="B36" s="10" t="s">
        <v>87</v>
      </c>
      <c r="C36" s="35" t="n">
        <v>0.14</v>
      </c>
      <c r="D36" s="21" t="s">
        <v>85</v>
      </c>
      <c r="E36" s="36" t="s">
        <v>88</v>
      </c>
      <c r="F36" s="36"/>
    </row>
    <row r="37" customFormat="false" ht="19.5" hidden="false" customHeight="true" outlineLevel="0" collapsed="false">
      <c r="B37" s="10" t="s">
        <v>89</v>
      </c>
      <c r="C37" s="35" t="n">
        <v>0.16</v>
      </c>
      <c r="D37" s="21" t="s">
        <v>85</v>
      </c>
      <c r="E37" s="36" t="s">
        <v>90</v>
      </c>
      <c r="F37" s="36"/>
    </row>
    <row r="38" customFormat="false" ht="19.5" hidden="false" customHeight="true" outlineLevel="0" collapsed="false">
      <c r="B38" s="10" t="s">
        <v>91</v>
      </c>
      <c r="C38" s="35" t="n">
        <v>0.06</v>
      </c>
      <c r="D38" s="21" t="s">
        <v>92</v>
      </c>
      <c r="E38" s="36" t="s">
        <v>93</v>
      </c>
      <c r="F38" s="36"/>
    </row>
    <row r="39" customFormat="false" ht="19.5" hidden="false" customHeight="true" outlineLevel="0" collapsed="false">
      <c r="B39" s="10" t="s">
        <v>94</v>
      </c>
      <c r="C39" s="35" t="n">
        <v>0.08</v>
      </c>
      <c r="D39" s="21" t="s">
        <v>92</v>
      </c>
      <c r="E39" s="36" t="s">
        <v>95</v>
      </c>
      <c r="F39" s="36"/>
    </row>
    <row r="40" customFormat="false" ht="19.5" hidden="false" customHeight="true" outlineLevel="0" collapsed="false">
      <c r="B40" s="10" t="s">
        <v>96</v>
      </c>
      <c r="C40" s="35" t="n">
        <v>0.05</v>
      </c>
      <c r="D40" s="21" t="s">
        <v>97</v>
      </c>
      <c r="E40" s="36" t="s">
        <v>98</v>
      </c>
      <c r="F40" s="36"/>
    </row>
    <row r="41" customFormat="false" ht="19.5" hidden="false" customHeight="true" outlineLevel="0" collapsed="false">
      <c r="B41" s="10" t="s">
        <v>99</v>
      </c>
      <c r="C41" s="35" t="n">
        <v>0.04</v>
      </c>
      <c r="D41" s="21" t="s">
        <v>100</v>
      </c>
      <c r="E41" s="36" t="s">
        <v>101</v>
      </c>
      <c r="F41" s="36"/>
    </row>
    <row r="42" customFormat="false" ht="19.5" hidden="false" customHeight="true" outlineLevel="0" collapsed="false">
      <c r="B42" s="10" t="s">
        <v>102</v>
      </c>
      <c r="C42" s="35" t="n">
        <v>0.1</v>
      </c>
      <c r="D42" s="21" t="s">
        <v>103</v>
      </c>
      <c r="E42" s="36" t="s">
        <v>104</v>
      </c>
      <c r="F42" s="36"/>
    </row>
    <row r="44" customFormat="false" ht="18" hidden="false" customHeight="true" outlineLevel="0" collapsed="false">
      <c r="B44" s="8" t="s">
        <v>105</v>
      </c>
      <c r="C44" s="8"/>
      <c r="D44" s="8"/>
      <c r="E44" s="8"/>
      <c r="F44" s="8"/>
    </row>
    <row r="45" customFormat="false" ht="15" hidden="false" customHeight="false" outlineLevel="0" collapsed="false">
      <c r="B45" s="19" t="s">
        <v>27</v>
      </c>
      <c r="C45" s="19" t="s">
        <v>106</v>
      </c>
      <c r="D45" s="19" t="s">
        <v>29</v>
      </c>
      <c r="E45" s="19" t="s">
        <v>107</v>
      </c>
      <c r="F45" s="19" t="s">
        <v>46</v>
      </c>
    </row>
    <row r="46" customFormat="false" ht="19.5" hidden="false" customHeight="true" outlineLevel="0" collapsed="false">
      <c r="B46" s="10"/>
      <c r="C46" s="30"/>
      <c r="D46" s="37"/>
      <c r="E46" s="30"/>
      <c r="F46" s="10"/>
    </row>
    <row r="47" customFormat="false" ht="19.5" hidden="false" customHeight="true" outlineLevel="0" collapsed="false">
      <c r="B47" s="10"/>
      <c r="C47" s="30"/>
      <c r="D47" s="37"/>
      <c r="E47" s="30"/>
      <c r="F47" s="10"/>
    </row>
    <row r="48" customFormat="false" ht="19.5" hidden="false" customHeight="true" outlineLevel="0" collapsed="false">
      <c r="B48" s="10"/>
      <c r="C48" s="30"/>
      <c r="D48" s="37"/>
      <c r="E48" s="30"/>
      <c r="F48" s="10"/>
    </row>
    <row r="49" customFormat="false" ht="19.5" hidden="false" customHeight="true" outlineLevel="0" collapsed="false">
      <c r="B49" s="10"/>
      <c r="C49" s="30"/>
      <c r="D49" s="37"/>
      <c r="E49" s="30"/>
      <c r="F49" s="10"/>
    </row>
    <row r="50" customFormat="false" ht="19.5" hidden="false" customHeight="true" outlineLevel="0" collapsed="false">
      <c r="B50" s="10"/>
      <c r="C50" s="30"/>
      <c r="D50" s="37"/>
      <c r="E50" s="30"/>
      <c r="F50" s="10"/>
    </row>
    <row r="51" customFormat="false" ht="19.5" hidden="false" customHeight="true" outlineLevel="0" collapsed="false">
      <c r="B51" s="10"/>
      <c r="C51" s="30"/>
      <c r="D51" s="37"/>
      <c r="E51" s="30"/>
      <c r="F51" s="10"/>
    </row>
  </sheetData>
  <mergeCells count="20">
    <mergeCell ref="B2:F2"/>
    <mergeCell ref="B3:F3"/>
    <mergeCell ref="B4:F4"/>
    <mergeCell ref="B6:F6"/>
    <mergeCell ref="D11:F11"/>
    <mergeCell ref="D12:F12"/>
    <mergeCell ref="B14:F14"/>
    <mergeCell ref="D21:F21"/>
    <mergeCell ref="D22:F22"/>
    <mergeCell ref="B24:F24"/>
    <mergeCell ref="B33:F33"/>
    <mergeCell ref="E35:F35"/>
    <mergeCell ref="E36:F36"/>
    <mergeCell ref="E37:F37"/>
    <mergeCell ref="E38:F38"/>
    <mergeCell ref="E39:F39"/>
    <mergeCell ref="E40:F40"/>
    <mergeCell ref="E41:F41"/>
    <mergeCell ref="E42:F42"/>
    <mergeCell ref="B44:F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5E63"/>
    <pageSetUpPr fitToPage="false"/>
  </sheetPr>
  <dimension ref="B1:J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0"/>
    <col collapsed="false" customWidth="true" hidden="false" outlineLevel="0" max="9" min="9" style="0" width="18"/>
    <col collapsed="false" customWidth="true" hidden="false" outlineLevel="0" max="10" min="10" style="0" width="14"/>
    <col collapsed="false" customWidth="true" hidden="false" outlineLevel="0" max="11" min="11" style="0" width="2"/>
  </cols>
  <sheetData>
    <row r="1" customFormat="false" ht="7.5" hidden="false" customHeight="true" outlineLevel="0" collapsed="false"/>
    <row r="2" customFormat="false" ht="43.5" hidden="false" customHeight="true" outlineLevel="0" collapsed="false">
      <c r="B2" s="16" t="s">
        <v>108</v>
      </c>
      <c r="C2" s="16"/>
      <c r="D2" s="16"/>
      <c r="E2" s="16"/>
      <c r="F2" s="16"/>
      <c r="G2" s="16"/>
      <c r="H2" s="16"/>
      <c r="I2" s="16"/>
      <c r="J2" s="16"/>
    </row>
    <row r="3" customFormat="false" ht="21.75" hidden="false" customHeight="true" outlineLevel="0" collapsed="false">
      <c r="B3" s="17" t="s">
        <v>109</v>
      </c>
      <c r="C3" s="17"/>
      <c r="D3" s="17"/>
      <c r="E3" s="17"/>
      <c r="F3" s="17"/>
      <c r="G3" s="17"/>
      <c r="H3" s="17"/>
      <c r="I3" s="17"/>
      <c r="J3" s="17"/>
    </row>
    <row r="4" customFormat="false" ht="13.5" hidden="false" customHeight="true" outlineLevel="0" collapsed="false">
      <c r="B4" s="18" t="s">
        <v>110</v>
      </c>
      <c r="C4" s="18"/>
      <c r="D4" s="18"/>
      <c r="E4" s="18"/>
      <c r="F4" s="18"/>
      <c r="G4" s="18"/>
      <c r="H4" s="18"/>
      <c r="I4" s="18"/>
      <c r="J4" s="18"/>
    </row>
    <row r="6" customFormat="false" ht="13.5" hidden="false" customHeight="true" outlineLevel="0" collapsed="false">
      <c r="B6" s="38" t="s">
        <v>111</v>
      </c>
      <c r="C6" s="38"/>
      <c r="D6" s="38"/>
      <c r="E6" s="38"/>
      <c r="F6" s="38"/>
      <c r="G6" s="38"/>
      <c r="H6" s="38"/>
      <c r="I6" s="38"/>
      <c r="J6" s="38"/>
    </row>
    <row r="7" customFormat="false" ht="27.75" hidden="false" customHeight="true" outlineLevel="0" collapsed="false">
      <c r="B7" s="39" t="s">
        <v>112</v>
      </c>
      <c r="C7" s="39" t="s">
        <v>113</v>
      </c>
      <c r="D7" s="39" t="s">
        <v>114</v>
      </c>
      <c r="E7" s="39" t="s">
        <v>115</v>
      </c>
      <c r="F7" s="39" t="s">
        <v>116</v>
      </c>
      <c r="G7" s="39" t="s">
        <v>117</v>
      </c>
      <c r="H7" s="39" t="s">
        <v>118</v>
      </c>
      <c r="I7" s="39" t="s">
        <v>119</v>
      </c>
      <c r="J7" s="39" t="s">
        <v>120</v>
      </c>
    </row>
    <row r="8" customFormat="false" ht="18" hidden="false" customHeight="true" outlineLevel="0" collapsed="false">
      <c r="B8" s="9" t="s">
        <v>121</v>
      </c>
      <c r="C8" s="22" t="n">
        <v>1</v>
      </c>
      <c r="D8" s="22" t="s">
        <v>122</v>
      </c>
      <c r="E8" s="22"/>
      <c r="F8" s="22" t="n">
        <v>0</v>
      </c>
      <c r="G8" s="22" t="s">
        <v>123</v>
      </c>
      <c r="H8" s="22" t="s">
        <v>124</v>
      </c>
      <c r="I8" s="35"/>
      <c r="J8" s="40" t="n">
        <f aca="false">IF(B8="","",(IF(OR(B8="Batch brew / drip",B8="Cold brew"),'💰 Ingredient Prices'!C12,IF(C8="",0,C8)*'💰 Ingredient Prices'!C11))+(IF(D8="None",0,IF(D8="Dairy",'💰 Ingredient Prices'!C16/1000*IF(E8="",0,E8),IF(D8="Oat",'💰 Ingredient Prices'!C17/1000*IF(E8="",0,E8),IF(D8="Almond",'💰 Ingredient Prices'!C18/1000*IF(E8="",0,E8),IF(D8="Soy",'💰 Ingredient Prices'!C19/1000*IF(E8="",0,E8),IF(D8="Coconut",'💰 Ingredient Prices'!C20/1000*IF(E8="",0,E8),0)))))))+IF(F8="",0,F8)*'💰 Ingredient Prices'!E26+(IF(G8="Small",'💰 Ingredient Prices'!C35+'💰 Ingredient Prices'!C38,IF(G8="Medium",'💰 Ingredient Prices'!C36+'💰 Ingredient Prices'!C38,IF(G8="Large",'💰 Ingredient Prices'!C37+'💰 Ingredient Prices'!C38,0)))+IF(H8="Y",'💰 Ingredient Prices'!C40,0))+IF(I8="",0,I8))</f>
        <v>0.4698</v>
      </c>
    </row>
    <row r="9" customFormat="false" ht="18" hidden="false" customHeight="true" outlineLevel="0" collapsed="false">
      <c r="B9" s="9" t="s">
        <v>125</v>
      </c>
      <c r="C9" s="22" t="n">
        <v>2</v>
      </c>
      <c r="D9" s="22" t="s">
        <v>122</v>
      </c>
      <c r="E9" s="22"/>
      <c r="F9" s="22" t="n">
        <v>0</v>
      </c>
      <c r="G9" s="22" t="s">
        <v>123</v>
      </c>
      <c r="H9" s="22" t="s">
        <v>124</v>
      </c>
      <c r="I9" s="35"/>
      <c r="J9" s="40" t="n">
        <f aca="false">IF(B9="","",(IF(OR(B9="Batch brew / drip",B9="Cold brew"),'💰 Ingredient Prices'!C12,IF(C9="",0,C9)*'💰 Ingredient Prices'!C11))+(IF(D9="None",0,IF(D9="Dairy",'💰 Ingredient Prices'!C16/1000*IF(E9="",0,E9),IF(D9="Oat",'💰 Ingredient Prices'!C17/1000*IF(E9="",0,E9),IF(D9="Almond",'💰 Ingredient Prices'!C18/1000*IF(E9="",0,E9),IF(D9="Soy",'💰 Ingredient Prices'!C19/1000*IF(E9="",0,E9),IF(D9="Coconut",'💰 Ingredient Prices'!C20/1000*IF(E9="",0,E9),0)))))))+IF(F9="",0,F9)*'💰 Ingredient Prices'!E26+(IF(G9="Small",'💰 Ingredient Prices'!C35+'💰 Ingredient Prices'!C38,IF(G9="Medium",'💰 Ingredient Prices'!C36+'💰 Ingredient Prices'!C38,IF(G9="Large",'💰 Ingredient Prices'!C37+'💰 Ingredient Prices'!C38,0)))+IF(H9="Y",'💰 Ingredient Prices'!C40,0))+IF(I9="",0,I9))</f>
        <v>0.7596</v>
      </c>
    </row>
    <row r="10" customFormat="false" ht="18" hidden="false" customHeight="true" outlineLevel="0" collapsed="false">
      <c r="B10" s="9" t="s">
        <v>126</v>
      </c>
      <c r="C10" s="22" t="n">
        <v>2</v>
      </c>
      <c r="D10" s="22" t="s">
        <v>127</v>
      </c>
      <c r="E10" s="22" t="n">
        <v>30</v>
      </c>
      <c r="F10" s="22" t="n">
        <v>0</v>
      </c>
      <c r="G10" s="22" t="s">
        <v>123</v>
      </c>
      <c r="H10" s="22" t="s">
        <v>124</v>
      </c>
      <c r="I10" s="35"/>
      <c r="J10" s="40" t="n">
        <f aca="false">IF(B10="","",(IF(OR(B10="Batch brew / drip",B10="Cold brew"),'💰 Ingredient Prices'!C12,IF(C10="",0,C10)*'💰 Ingredient Prices'!C11))+(IF(D10="None",0,IF(D10="Dairy",'💰 Ingredient Prices'!C16/1000*IF(E10="",0,E10),IF(D10="Oat",'💰 Ingredient Prices'!C17/1000*IF(E10="",0,E10),IF(D10="Almond",'💰 Ingredient Prices'!C18/1000*IF(E10="",0,E10),IF(D10="Soy",'💰 Ingredient Prices'!C19/1000*IF(E10="",0,E10),IF(D10="Coconut",'💰 Ingredient Prices'!C20/1000*IF(E10="",0,E10),0)))))))+IF(F10="",0,F10)*'💰 Ingredient Prices'!E26+(IF(G10="Small",'💰 Ingredient Prices'!C35+'💰 Ingredient Prices'!C38,IF(G10="Medium",'💰 Ingredient Prices'!C36+'💰 Ingredient Prices'!C38,IF(G10="Large",'💰 Ingredient Prices'!C37+'💰 Ingredient Prices'!C38,0)))+IF(H10="Y",'💰 Ingredient Prices'!C40,0))+IF(I10="",0,I10))</f>
        <v>0.7956</v>
      </c>
    </row>
    <row r="11" customFormat="false" ht="18" hidden="false" customHeight="true" outlineLevel="0" collapsed="false">
      <c r="B11" s="9" t="s">
        <v>128</v>
      </c>
      <c r="C11" s="22" t="n">
        <v>2</v>
      </c>
      <c r="D11" s="22" t="s">
        <v>127</v>
      </c>
      <c r="E11" s="22" t="n">
        <v>60</v>
      </c>
      <c r="F11" s="22" t="n">
        <v>0</v>
      </c>
      <c r="G11" s="22" t="s">
        <v>123</v>
      </c>
      <c r="H11" s="22" t="s">
        <v>124</v>
      </c>
      <c r="I11" s="35"/>
      <c r="J11" s="40" t="n">
        <f aca="false">IF(B11="","",(IF(OR(B11="Batch brew / drip",B11="Cold brew"),'💰 Ingredient Prices'!C12,IF(C11="",0,C11)*'💰 Ingredient Prices'!C11))+(IF(D11="None",0,IF(D11="Dairy",'💰 Ingredient Prices'!C16/1000*IF(E11="",0,E11),IF(D11="Oat",'💰 Ingredient Prices'!C17/1000*IF(E11="",0,E11),IF(D11="Almond",'💰 Ingredient Prices'!C18/1000*IF(E11="",0,E11),IF(D11="Soy",'💰 Ingredient Prices'!C19/1000*IF(E11="",0,E11),IF(D11="Coconut",'💰 Ingredient Prices'!C20/1000*IF(E11="",0,E11),0)))))))+IF(F11="",0,F11)*'💰 Ingredient Prices'!E26+(IF(G11="Small",'💰 Ingredient Prices'!C35+'💰 Ingredient Prices'!C38,IF(G11="Medium",'💰 Ingredient Prices'!C36+'💰 Ingredient Prices'!C38,IF(G11="Large",'💰 Ingredient Prices'!C37+'💰 Ingredient Prices'!C38,0)))+IF(H11="Y",'💰 Ingredient Prices'!C40,0))+IF(I11="",0,I11))</f>
        <v>0.8316</v>
      </c>
    </row>
    <row r="12" customFormat="false" ht="18" hidden="false" customHeight="true" outlineLevel="0" collapsed="false">
      <c r="B12" s="9" t="s">
        <v>129</v>
      </c>
      <c r="C12" s="22" t="n">
        <v>2</v>
      </c>
      <c r="D12" s="22" t="s">
        <v>127</v>
      </c>
      <c r="E12" s="22" t="n">
        <v>180</v>
      </c>
      <c r="F12" s="22" t="n">
        <v>0</v>
      </c>
      <c r="G12" s="22" t="s">
        <v>130</v>
      </c>
      <c r="H12" s="22" t="s">
        <v>131</v>
      </c>
      <c r="I12" s="35"/>
      <c r="J12" s="40" t="n">
        <f aca="false">IF(B12="","",(IF(OR(B12="Batch brew / drip",B12="Cold brew"),'💰 Ingredient Prices'!C12,IF(C12="",0,C12)*'💰 Ingredient Prices'!C11))+(IF(D12="None",0,IF(D12="Dairy",'💰 Ingredient Prices'!C16/1000*IF(E12="",0,E12),IF(D12="Oat",'💰 Ingredient Prices'!C17/1000*IF(E12="",0,E12),IF(D12="Almond",'💰 Ingredient Prices'!C18/1000*IF(E12="",0,E12),IF(D12="Soy",'💰 Ingredient Prices'!C19/1000*IF(E12="",0,E12),IF(D12="Coconut",'💰 Ingredient Prices'!C20/1000*IF(E12="",0,E12),0)))))))+IF(F12="",0,F12)*'💰 Ingredient Prices'!E26+(IF(G12="Small",'💰 Ingredient Prices'!C35+'💰 Ingredient Prices'!C38,IF(G12="Medium",'💰 Ingredient Prices'!C36+'💰 Ingredient Prices'!C38,IF(G12="Large",'💰 Ingredient Prices'!C37+'💰 Ingredient Prices'!C38,0)))+IF(H12="Y",'💰 Ingredient Prices'!C40,0))+IF(I12="",0,I12))</f>
        <v>1.0456</v>
      </c>
    </row>
    <row r="13" customFormat="false" ht="18" hidden="false" customHeight="true" outlineLevel="0" collapsed="false">
      <c r="B13" s="9" t="s">
        <v>132</v>
      </c>
      <c r="C13" s="22" t="n">
        <v>2</v>
      </c>
      <c r="D13" s="22" t="s">
        <v>133</v>
      </c>
      <c r="E13" s="22" t="n">
        <v>180</v>
      </c>
      <c r="F13" s="22" t="n">
        <v>0</v>
      </c>
      <c r="G13" s="22" t="s">
        <v>130</v>
      </c>
      <c r="H13" s="22" t="s">
        <v>131</v>
      </c>
      <c r="I13" s="35"/>
      <c r="J13" s="40" t="n">
        <f aca="false">IF(B13="","",(IF(OR(B13="Batch brew / drip",B13="Cold brew"),'💰 Ingredient Prices'!C12,IF(C13="",0,C13)*'💰 Ingredient Prices'!C11))+(IF(D13="None",0,IF(D13="Dairy",'💰 Ingredient Prices'!C16/1000*IF(E13="",0,E13),IF(D13="Oat",'💰 Ingredient Prices'!C17/1000*IF(E13="",0,E13),IF(D13="Almond",'💰 Ingredient Prices'!C18/1000*IF(E13="",0,E13),IF(D13="Soy",'💰 Ingredient Prices'!C19/1000*IF(E13="",0,E13),IF(D13="Coconut",'💰 Ingredient Prices'!C20/1000*IF(E13="",0,E13),0)))))))+IF(F13="",0,F13)*'💰 Ingredient Prices'!E26+(IF(G13="Small",'💰 Ingredient Prices'!C35+'💰 Ingredient Prices'!C38,IF(G13="Medium",'💰 Ingredient Prices'!C36+'💰 Ingredient Prices'!C38,IF(G13="Large",'💰 Ingredient Prices'!C37+'💰 Ingredient Prices'!C38,0)))+IF(H13="Y",'💰 Ingredient Prices'!C40,0))+IF(I13="",0,I13))</f>
        <v>1.3336</v>
      </c>
    </row>
    <row r="14" customFormat="false" ht="18" hidden="false" customHeight="true" outlineLevel="0" collapsed="false">
      <c r="B14" s="9" t="s">
        <v>134</v>
      </c>
      <c r="C14" s="22" t="n">
        <v>2</v>
      </c>
      <c r="D14" s="22" t="s">
        <v>127</v>
      </c>
      <c r="E14" s="22" t="n">
        <v>180</v>
      </c>
      <c r="F14" s="22" t="n">
        <v>0</v>
      </c>
      <c r="G14" s="22" t="s">
        <v>130</v>
      </c>
      <c r="H14" s="22" t="s">
        <v>131</v>
      </c>
      <c r="I14" s="35"/>
      <c r="J14" s="40" t="n">
        <f aca="false">IF(B14="","",(IF(OR(B14="Batch brew / drip",B14="Cold brew"),'💰 Ingredient Prices'!C12,IF(C14="",0,C14)*'💰 Ingredient Prices'!C11))+(IF(D14="None",0,IF(D14="Dairy",'💰 Ingredient Prices'!C16/1000*IF(E14="",0,E14),IF(D14="Oat",'💰 Ingredient Prices'!C17/1000*IF(E14="",0,E14),IF(D14="Almond",'💰 Ingredient Prices'!C18/1000*IF(E14="",0,E14),IF(D14="Soy",'💰 Ingredient Prices'!C19/1000*IF(E14="",0,E14),IF(D14="Coconut",'💰 Ingredient Prices'!C20/1000*IF(E14="",0,E14),0)))))))+IF(F14="",0,F14)*'💰 Ingredient Prices'!E26+(IF(G14="Small",'💰 Ingredient Prices'!C35+'💰 Ingredient Prices'!C38,IF(G14="Medium",'💰 Ingredient Prices'!C36+'💰 Ingredient Prices'!C38,IF(G14="Large",'💰 Ingredient Prices'!C37+'💰 Ingredient Prices'!C38,0)))+IF(H14="Y",'💰 Ingredient Prices'!C40,0))+IF(I14="",0,I14))</f>
        <v>1.0456</v>
      </c>
    </row>
    <row r="15" customFormat="false" ht="18" hidden="false" customHeight="true" outlineLevel="0" collapsed="false">
      <c r="B15" s="9" t="s">
        <v>135</v>
      </c>
      <c r="C15" s="22" t="n">
        <v>2</v>
      </c>
      <c r="D15" s="22" t="s">
        <v>127</v>
      </c>
      <c r="E15" s="22" t="n">
        <v>240</v>
      </c>
      <c r="F15" s="22" t="n">
        <v>0</v>
      </c>
      <c r="G15" s="22" t="s">
        <v>130</v>
      </c>
      <c r="H15" s="22" t="s">
        <v>131</v>
      </c>
      <c r="I15" s="35"/>
      <c r="J15" s="40" t="n">
        <f aca="false">IF(B15="","",(IF(OR(B15="Batch brew / drip",B15="Cold brew"),'💰 Ingredient Prices'!C12,IF(C15="",0,C15)*'💰 Ingredient Prices'!C11))+(IF(D15="None",0,IF(D15="Dairy",'💰 Ingredient Prices'!C16/1000*IF(E15="",0,E15),IF(D15="Oat",'💰 Ingredient Prices'!C17/1000*IF(E15="",0,E15),IF(D15="Almond",'💰 Ingredient Prices'!C18/1000*IF(E15="",0,E15),IF(D15="Soy",'💰 Ingredient Prices'!C19/1000*IF(E15="",0,E15),IF(D15="Coconut",'💰 Ingredient Prices'!C20/1000*IF(E15="",0,E15),0)))))))+IF(F15="",0,F15)*'💰 Ingredient Prices'!E26+(IF(G15="Small",'💰 Ingredient Prices'!C35+'💰 Ingredient Prices'!C38,IF(G15="Medium",'💰 Ingredient Prices'!C36+'💰 Ingredient Prices'!C38,IF(G15="Large",'💰 Ingredient Prices'!C37+'💰 Ingredient Prices'!C38,0)))+IF(H15="Y",'💰 Ingredient Prices'!C40,0))+IF(I15="",0,I15))</f>
        <v>1.1176</v>
      </c>
    </row>
    <row r="16" customFormat="false" ht="18" hidden="false" customHeight="true" outlineLevel="0" collapsed="false">
      <c r="B16" s="9" t="s">
        <v>136</v>
      </c>
      <c r="C16" s="22" t="n">
        <v>2</v>
      </c>
      <c r="D16" s="22" t="s">
        <v>133</v>
      </c>
      <c r="E16" s="22" t="n">
        <v>240</v>
      </c>
      <c r="F16" s="22" t="n">
        <v>0</v>
      </c>
      <c r="G16" s="22" t="s">
        <v>130</v>
      </c>
      <c r="H16" s="22" t="s">
        <v>131</v>
      </c>
      <c r="I16" s="35"/>
      <c r="J16" s="40" t="n">
        <f aca="false">IF(B16="","",(IF(OR(B16="Batch brew / drip",B16="Cold brew"),'💰 Ingredient Prices'!C12,IF(C16="",0,C16)*'💰 Ingredient Prices'!C11))+(IF(D16="None",0,IF(D16="Dairy",'💰 Ingredient Prices'!C16/1000*IF(E16="",0,E16),IF(D16="Oat",'💰 Ingredient Prices'!C17/1000*IF(E16="",0,E16),IF(D16="Almond",'💰 Ingredient Prices'!C18/1000*IF(E16="",0,E16),IF(D16="Soy",'💰 Ingredient Prices'!C19/1000*IF(E16="",0,E16),IF(D16="Coconut",'💰 Ingredient Prices'!C20/1000*IF(E16="",0,E16),0)))))))+IF(F16="",0,F16)*'💰 Ingredient Prices'!E26+(IF(G16="Small",'💰 Ingredient Prices'!C35+'💰 Ingredient Prices'!C38,IF(G16="Medium",'💰 Ingredient Prices'!C36+'💰 Ingredient Prices'!C38,IF(G16="Large",'💰 Ingredient Prices'!C37+'💰 Ingredient Prices'!C38,0)))+IF(H16="Y",'💰 Ingredient Prices'!C40,0))+IF(I16="",0,I16))</f>
        <v>1.5016</v>
      </c>
    </row>
    <row r="17" customFormat="false" ht="18" hidden="false" customHeight="true" outlineLevel="0" collapsed="false">
      <c r="B17" s="9" t="s">
        <v>137</v>
      </c>
      <c r="C17" s="22" t="n">
        <v>2</v>
      </c>
      <c r="D17" s="22" t="s">
        <v>127</v>
      </c>
      <c r="E17" s="22" t="n">
        <v>300</v>
      </c>
      <c r="F17" s="22" t="n">
        <v>0</v>
      </c>
      <c r="G17" s="22" t="s">
        <v>138</v>
      </c>
      <c r="H17" s="22" t="s">
        <v>131</v>
      </c>
      <c r="I17" s="35"/>
      <c r="J17" s="40" t="n">
        <f aca="false">IF(B17="","",(IF(OR(B17="Batch brew / drip",B17="Cold brew"),'💰 Ingredient Prices'!C12,IF(C17="",0,C17)*'💰 Ingredient Prices'!C11))+(IF(D17="None",0,IF(D17="Dairy",'💰 Ingredient Prices'!C16/1000*IF(E17="",0,E17),IF(D17="Oat",'💰 Ingredient Prices'!C17/1000*IF(E17="",0,E17),IF(D17="Almond",'💰 Ingredient Prices'!C18/1000*IF(E17="",0,E17),IF(D17="Soy",'💰 Ingredient Prices'!C19/1000*IF(E17="",0,E17),IF(D17="Coconut",'💰 Ingredient Prices'!C20/1000*IF(E17="",0,E17),0)))))))+IF(F17="",0,F17)*'💰 Ingredient Prices'!E26+(IF(G17="Small",'💰 Ingredient Prices'!C35+'💰 Ingredient Prices'!C38,IF(G17="Medium",'💰 Ingredient Prices'!C36+'💰 Ingredient Prices'!C38,IF(G17="Large",'💰 Ingredient Prices'!C37+'💰 Ingredient Prices'!C38,0)))+IF(H17="Y",'💰 Ingredient Prices'!C40,0))+IF(I17="",0,I17))</f>
        <v>1.2096</v>
      </c>
    </row>
    <row r="18" customFormat="false" ht="18" hidden="false" customHeight="true" outlineLevel="0" collapsed="false">
      <c r="B18" s="9" t="s">
        <v>139</v>
      </c>
      <c r="C18" s="22" t="n">
        <v>2</v>
      </c>
      <c r="D18" s="22" t="s">
        <v>127</v>
      </c>
      <c r="E18" s="22" t="n">
        <v>240</v>
      </c>
      <c r="F18" s="22" t="n">
        <v>1</v>
      </c>
      <c r="G18" s="22" t="s">
        <v>130</v>
      </c>
      <c r="H18" s="22" t="s">
        <v>131</v>
      </c>
      <c r="I18" s="35"/>
      <c r="J18" s="40" t="n">
        <f aca="false">IF(B18="","",(IF(OR(B18="Batch brew / drip",B18="Cold brew"),'💰 Ingredient Prices'!C12,IF(C18="",0,C18)*'💰 Ingredient Prices'!C11))+(IF(D18="None",0,IF(D18="Dairy",'💰 Ingredient Prices'!C16/1000*IF(E18="",0,E18),IF(D18="Oat",'💰 Ingredient Prices'!C17/1000*IF(E18="",0,E18),IF(D18="Almond",'💰 Ingredient Prices'!C18/1000*IF(E18="",0,E18),IF(D18="Soy",'💰 Ingredient Prices'!C19/1000*IF(E18="",0,E18),IF(D18="Coconut",'💰 Ingredient Prices'!C20/1000*IF(E18="",0,E18),0)))))))+IF(F18="",0,F18)*'💰 Ingredient Prices'!E26+(IF(G18="Small",'💰 Ingredient Prices'!C35+'💰 Ingredient Prices'!C38,IF(G18="Medium",'💰 Ingredient Prices'!C36+'💰 Ingredient Prices'!C38,IF(G18="Large",'💰 Ingredient Prices'!C37+'💰 Ingredient Prices'!C38,0)))+IF(H18="Y",'💰 Ingredient Prices'!C40,0))+IF(I18="",0,I18))</f>
        <v>1.2976</v>
      </c>
    </row>
    <row r="19" customFormat="false" ht="18" hidden="false" customHeight="true" outlineLevel="0" collapsed="false">
      <c r="B19" s="9" t="s">
        <v>140</v>
      </c>
      <c r="C19" s="22"/>
      <c r="D19" s="22" t="s">
        <v>122</v>
      </c>
      <c r="E19" s="22"/>
      <c r="F19" s="22" t="n">
        <v>0</v>
      </c>
      <c r="G19" s="22" t="s">
        <v>130</v>
      </c>
      <c r="H19" s="22" t="s">
        <v>131</v>
      </c>
      <c r="I19" s="35"/>
      <c r="J19" s="40" t="n">
        <f aca="false">IF(B19="","",(IF(OR(B19="Batch brew / drip",B19="Cold brew"),'💰 Ingredient Prices'!C12,IF(C19="",0,C19)*'💰 Ingredient Prices'!C11))+(IF(D19="None",0,IF(D19="Dairy",'💰 Ingredient Prices'!C16/1000*IF(E19="",0,E19),IF(D19="Oat",'💰 Ingredient Prices'!C17/1000*IF(E19="",0,E19),IF(D19="Almond",'💰 Ingredient Prices'!C18/1000*IF(E19="",0,E19),IF(D19="Soy",'💰 Ingredient Prices'!C19/1000*IF(E19="",0,E19),IF(D19="Coconut",'💰 Ingredient Prices'!C20/1000*IF(E19="",0,E19),0)))))))+IF(F19="",0,F19)*'💰 Ingredient Prices'!E26+(IF(G19="Small",'💰 Ingredient Prices'!C35+'💰 Ingredient Prices'!C38,IF(G19="Medium",'💰 Ingredient Prices'!C36+'💰 Ingredient Prices'!C38,IF(G19="Large",'💰 Ingredient Prices'!C37+'💰 Ingredient Prices'!C38,0)))+IF(H19="Y",'💰 Ingredient Prices'!C40,0))+IF(I19="",0,I19))</f>
        <v>0.547</v>
      </c>
    </row>
    <row r="20" customFormat="false" ht="18" hidden="false" customHeight="true" outlineLevel="0" collapsed="false">
      <c r="B20" s="9" t="s">
        <v>141</v>
      </c>
      <c r="C20" s="22"/>
      <c r="D20" s="22" t="s">
        <v>122</v>
      </c>
      <c r="E20" s="22"/>
      <c r="F20" s="22" t="n">
        <v>0</v>
      </c>
      <c r="G20" s="22" t="s">
        <v>138</v>
      </c>
      <c r="H20" s="22" t="s">
        <v>124</v>
      </c>
      <c r="I20" s="35"/>
      <c r="J20" s="40" t="n">
        <f aca="false">IF(B20="","",(IF(OR(B20="Batch brew / drip",B20="Cold brew"),'💰 Ingredient Prices'!C12,IF(C20="",0,C20)*'💰 Ingredient Prices'!C11))+(IF(D20="None",0,IF(D20="Dairy",'💰 Ingredient Prices'!C16/1000*IF(E20="",0,E20),IF(D20="Oat",'💰 Ingredient Prices'!C17/1000*IF(E20="",0,E20),IF(D20="Almond",'💰 Ingredient Prices'!C18/1000*IF(E20="",0,E20),IF(D20="Soy",'💰 Ingredient Prices'!C19/1000*IF(E20="",0,E20),IF(D20="Coconut",'💰 Ingredient Prices'!C20/1000*IF(E20="",0,E20),0)))))))+IF(F20="",0,F20)*'💰 Ingredient Prices'!E26+(IF(G20="Small",'💰 Ingredient Prices'!C35+'💰 Ingredient Prices'!C38,IF(G20="Medium",'💰 Ingredient Prices'!C36+'💰 Ingredient Prices'!C38,IF(G20="Large",'💰 Ingredient Prices'!C37+'💰 Ingredient Prices'!C38,0)))+IF(H20="Y",'💰 Ingredient Prices'!C40,0))+IF(I20="",0,I20))</f>
        <v>0.517</v>
      </c>
    </row>
    <row r="21" customFormat="false" ht="18" hidden="false" customHeight="true" outlineLevel="0" collapsed="false">
      <c r="B21" s="9" t="s">
        <v>142</v>
      </c>
      <c r="C21" s="22" t="n">
        <v>2</v>
      </c>
      <c r="D21" s="22" t="s">
        <v>127</v>
      </c>
      <c r="E21" s="22" t="n">
        <v>180</v>
      </c>
      <c r="F21" s="22" t="n">
        <v>0</v>
      </c>
      <c r="G21" s="22" t="s">
        <v>138</v>
      </c>
      <c r="H21" s="22" t="s">
        <v>124</v>
      </c>
      <c r="I21" s="35"/>
      <c r="J21" s="40" t="n">
        <f aca="false">IF(B21="","",(IF(OR(B21="Batch brew / drip",B21="Cold brew"),'💰 Ingredient Prices'!C12,IF(C21="",0,C21)*'💰 Ingredient Prices'!C11))+(IF(D21="None",0,IF(D21="Dairy",'💰 Ingredient Prices'!C16/1000*IF(E21="",0,E21),IF(D21="Oat",'💰 Ingredient Prices'!C17/1000*IF(E21="",0,E21),IF(D21="Almond",'💰 Ingredient Prices'!C18/1000*IF(E21="",0,E21),IF(D21="Soy",'💰 Ingredient Prices'!C19/1000*IF(E21="",0,E21),IF(D21="Coconut",'💰 Ingredient Prices'!C20/1000*IF(E21="",0,E21),0)))))))+IF(F21="",0,F21)*'💰 Ingredient Prices'!E26+(IF(G21="Small",'💰 Ingredient Prices'!C35+'💰 Ingredient Prices'!C38,IF(G21="Medium",'💰 Ingredient Prices'!C36+'💰 Ingredient Prices'!C38,IF(G21="Large",'💰 Ingredient Prices'!C37+'💰 Ingredient Prices'!C38,0)))+IF(H21="Y",'💰 Ingredient Prices'!C40,0))+IF(I21="",0,I21))</f>
        <v>1.0156</v>
      </c>
    </row>
    <row r="22" customFormat="false" ht="18" hidden="false" customHeight="true" outlineLevel="0" collapsed="false">
      <c r="B22" s="9" t="s">
        <v>143</v>
      </c>
      <c r="C22" s="22"/>
      <c r="D22" s="22" t="s">
        <v>127</v>
      </c>
      <c r="E22" s="22" t="n">
        <v>240</v>
      </c>
      <c r="F22" s="22" t="n">
        <v>0</v>
      </c>
      <c r="G22" s="22" t="s">
        <v>130</v>
      </c>
      <c r="H22" s="22" t="s">
        <v>131</v>
      </c>
      <c r="I22" s="35"/>
      <c r="J22" s="40" t="n">
        <f aca="false">IF(B22="","",(IF(OR(B22="Batch brew / drip",B22="Cold brew"),'💰 Ingredient Prices'!C12,IF(C22="",0,C22)*'💰 Ingredient Prices'!C11))+(IF(D22="None",0,IF(D22="Dairy",'💰 Ingredient Prices'!C16/1000*IF(E22="",0,E22),IF(D22="Oat",'💰 Ingredient Prices'!C17/1000*IF(E22="",0,E22),IF(D22="Almond",'💰 Ingredient Prices'!C18/1000*IF(E22="",0,E22),IF(D22="Soy",'💰 Ingredient Prices'!C19/1000*IF(E22="",0,E22),IF(D22="Coconut",'💰 Ingredient Prices'!C20/1000*IF(E22="",0,E22),0)))))))+IF(F22="",0,F22)*'💰 Ingredient Prices'!E26+(IF(G22="Small",'💰 Ingredient Prices'!C35+'💰 Ingredient Prices'!C38,IF(G22="Medium",'💰 Ingredient Prices'!C36+'💰 Ingredient Prices'!C38,IF(G22="Large",'💰 Ingredient Prices'!C37+'💰 Ingredient Prices'!C38,0)))+IF(H22="Y",'💰 Ingredient Prices'!C40,0))+IF(I22="",0,I22))</f>
        <v>0.538</v>
      </c>
    </row>
    <row r="23" customFormat="false" ht="18" hidden="false" customHeight="true" outlineLevel="0" collapsed="false">
      <c r="B23" s="9" t="s">
        <v>144</v>
      </c>
      <c r="C23" s="22"/>
      <c r="D23" s="22" t="s">
        <v>127</v>
      </c>
      <c r="E23" s="22" t="n">
        <v>240</v>
      </c>
      <c r="F23" s="22" t="n">
        <v>0</v>
      </c>
      <c r="G23" s="22" t="s">
        <v>130</v>
      </c>
      <c r="H23" s="22" t="s">
        <v>131</v>
      </c>
      <c r="I23" s="35"/>
      <c r="J23" s="40" t="n">
        <f aca="false">IF(B23="","",(IF(OR(B23="Batch brew / drip",B23="Cold brew"),'💰 Ingredient Prices'!C12,IF(C23="",0,C23)*'💰 Ingredient Prices'!C11))+(IF(D23="None",0,IF(D23="Dairy",'💰 Ingredient Prices'!C16/1000*IF(E23="",0,E23),IF(D23="Oat",'💰 Ingredient Prices'!C17/1000*IF(E23="",0,E23),IF(D23="Almond",'💰 Ingredient Prices'!C18/1000*IF(E23="",0,E23),IF(D23="Soy",'💰 Ingredient Prices'!C19/1000*IF(E23="",0,E23),IF(D23="Coconut",'💰 Ingredient Prices'!C20/1000*IF(E23="",0,E23),0)))))))+IF(F23="",0,F23)*'💰 Ingredient Prices'!E26+(IF(G23="Small",'💰 Ingredient Prices'!C35+'💰 Ingredient Prices'!C38,IF(G23="Medium",'💰 Ingredient Prices'!C36+'💰 Ingredient Prices'!C38,IF(G23="Large",'💰 Ingredient Prices'!C37+'💰 Ingredient Prices'!C38,0)))+IF(H23="Y",'💰 Ingredient Prices'!C40,0))+IF(I23="",0,I23))</f>
        <v>0.538</v>
      </c>
    </row>
    <row r="24" customFormat="false" ht="18" hidden="false" customHeight="true" outlineLevel="0" collapsed="false">
      <c r="B24" s="9" t="s">
        <v>145</v>
      </c>
      <c r="C24" s="22"/>
      <c r="D24" s="22" t="s">
        <v>127</v>
      </c>
      <c r="E24" s="22" t="n">
        <v>240</v>
      </c>
      <c r="F24" s="22" t="n">
        <v>0</v>
      </c>
      <c r="G24" s="22" t="s">
        <v>130</v>
      </c>
      <c r="H24" s="22" t="s">
        <v>131</v>
      </c>
      <c r="I24" s="35"/>
      <c r="J24" s="40" t="n">
        <f aca="false">IF(B24="","",(IF(OR(B24="Batch brew / drip",B24="Cold brew"),'💰 Ingredient Prices'!C12,IF(C24="",0,C24)*'💰 Ingredient Prices'!C11))+(IF(D24="None",0,IF(D24="Dairy",'💰 Ingredient Prices'!C16/1000*IF(E24="",0,E24),IF(D24="Oat",'💰 Ingredient Prices'!C17/1000*IF(E24="",0,E24),IF(D24="Almond",'💰 Ingredient Prices'!C18/1000*IF(E24="",0,E24),IF(D24="Soy",'💰 Ingredient Prices'!C19/1000*IF(E24="",0,E24),IF(D24="Coconut",'💰 Ingredient Prices'!C20/1000*IF(E24="",0,E24),0)))))))+IF(F24="",0,F24)*'💰 Ingredient Prices'!E26+(IF(G24="Small",'💰 Ingredient Prices'!C35+'💰 Ingredient Prices'!C38,IF(G24="Medium",'💰 Ingredient Prices'!C36+'💰 Ingredient Prices'!C38,IF(G24="Large",'💰 Ingredient Prices'!C37+'💰 Ingredient Prices'!C38,0)))+IF(H24="Y",'💰 Ingredient Prices'!C40,0))+IF(I24="",0,I24))</f>
        <v>0.538</v>
      </c>
    </row>
    <row r="25" customFormat="false" ht="18" hidden="false" customHeight="true" outlineLevel="0" collapsed="false">
      <c r="B25" s="9" t="s">
        <v>146</v>
      </c>
      <c r="C25" s="22" t="n">
        <v>2</v>
      </c>
      <c r="D25" s="22" t="s">
        <v>133</v>
      </c>
      <c r="E25" s="22" t="n">
        <v>180</v>
      </c>
      <c r="F25" s="22" t="n">
        <v>1</v>
      </c>
      <c r="G25" s="22" t="s">
        <v>130</v>
      </c>
      <c r="H25" s="22" t="s">
        <v>131</v>
      </c>
      <c r="I25" s="35"/>
      <c r="J25" s="40" t="n">
        <f aca="false">IF(B25="","",(IF(OR(B25="Batch brew / drip",B25="Cold brew"),'💰 Ingredient Prices'!C12,IF(C25="",0,C25)*'💰 Ingredient Prices'!C11))+(IF(D25="None",0,IF(D25="Dairy",'💰 Ingredient Prices'!C16/1000*IF(E25="",0,E25),IF(D25="Oat",'💰 Ingredient Prices'!C17/1000*IF(E25="",0,E25),IF(D25="Almond",'💰 Ingredient Prices'!C18/1000*IF(E25="",0,E25),IF(D25="Soy",'💰 Ingredient Prices'!C19/1000*IF(E25="",0,E25),IF(D25="Coconut",'💰 Ingredient Prices'!C20/1000*IF(E25="",0,E25),0)))))))+IF(F25="",0,F25)*'💰 Ingredient Prices'!E26+(IF(G25="Small",'💰 Ingredient Prices'!C35+'💰 Ingredient Prices'!C38,IF(G25="Medium",'💰 Ingredient Prices'!C36+'💰 Ingredient Prices'!C38,IF(G25="Large",'💰 Ingredient Prices'!C37+'💰 Ingredient Prices'!C38,0)))+IF(H25="Y",'💰 Ingredient Prices'!C40,0))+IF(I25="",0,I25))</f>
        <v>1.5136</v>
      </c>
    </row>
    <row r="26" customFormat="false" ht="18" hidden="false" customHeight="true" outlineLevel="0" collapsed="false">
      <c r="B26" s="11"/>
      <c r="C26" s="22"/>
      <c r="D26" s="22"/>
      <c r="E26" s="22"/>
      <c r="F26" s="22"/>
      <c r="G26" s="22"/>
      <c r="H26" s="22"/>
      <c r="I26" s="35"/>
      <c r="J26" s="40" t="str">
        <f aca="false">IF(B26="","",(IF(OR(B26="Batch brew / drip",B26="Cold brew"),'💰 Ingredient Prices'!C12,IF(C26="",0,C26)*'💰 Ingredient Prices'!C11))+(IF(D26="None",0,IF(D26="Dairy",'💰 Ingredient Prices'!C16/1000*IF(E26="",0,E26),IF(D26="Oat",'💰 Ingredient Prices'!C17/1000*IF(E26="",0,E26),IF(D26="Almond",'💰 Ingredient Prices'!C18/1000*IF(E26="",0,E26),IF(D26="Soy",'💰 Ingredient Prices'!C19/1000*IF(E26="",0,E26),IF(D26="Coconut",'💰 Ingredient Prices'!C20/1000*IF(E26="",0,E26),0)))))))+IF(F26="",0,F26)*'💰 Ingredient Prices'!E26+(IF(G26="Small",'💰 Ingredient Prices'!C35+'💰 Ingredient Prices'!C38,IF(G26="Medium",'💰 Ingredient Prices'!C36+'💰 Ingredient Prices'!C38,IF(G26="Large",'💰 Ingredient Prices'!C37+'💰 Ingredient Prices'!C38,0)))+IF(H26="Y",'💰 Ingredient Prices'!C40,0))+IF(I26="",0,I26))</f>
        <v/>
      </c>
    </row>
    <row r="27" customFormat="false" ht="18" hidden="false" customHeight="true" outlineLevel="0" collapsed="false">
      <c r="B27" s="11"/>
      <c r="C27" s="22"/>
      <c r="D27" s="22"/>
      <c r="E27" s="22"/>
      <c r="F27" s="22"/>
      <c r="G27" s="22"/>
      <c r="H27" s="22"/>
      <c r="I27" s="35"/>
      <c r="J27" s="40" t="str">
        <f aca="false">IF(B27="","",(IF(OR(B27="Batch brew / drip",B27="Cold brew"),'💰 Ingredient Prices'!C12,IF(C27="",0,C27)*'💰 Ingredient Prices'!C11))+(IF(D27="None",0,IF(D27="Dairy",'💰 Ingredient Prices'!C16/1000*IF(E27="",0,E27),IF(D27="Oat",'💰 Ingredient Prices'!C17/1000*IF(E27="",0,E27),IF(D27="Almond",'💰 Ingredient Prices'!C18/1000*IF(E27="",0,E27),IF(D27="Soy",'💰 Ingredient Prices'!C19/1000*IF(E27="",0,E27),IF(D27="Coconut",'💰 Ingredient Prices'!C20/1000*IF(E27="",0,E27),0)))))))+IF(F27="",0,F27)*'💰 Ingredient Prices'!E26+(IF(G27="Small",'💰 Ingredient Prices'!C35+'💰 Ingredient Prices'!C38,IF(G27="Medium",'💰 Ingredient Prices'!C36+'💰 Ingredient Prices'!C38,IF(G27="Large",'💰 Ingredient Prices'!C37+'💰 Ingredient Prices'!C38,0)))+IF(H27="Y",'💰 Ingredient Prices'!C40,0))+IF(I27="",0,I27))</f>
        <v/>
      </c>
    </row>
    <row r="28" customFormat="false" ht="18" hidden="false" customHeight="true" outlineLevel="0" collapsed="false">
      <c r="B28" s="11"/>
      <c r="C28" s="22"/>
      <c r="D28" s="22"/>
      <c r="E28" s="22"/>
      <c r="F28" s="22"/>
      <c r="G28" s="22"/>
      <c r="H28" s="22"/>
      <c r="I28" s="35"/>
      <c r="J28" s="40" t="str">
        <f aca="false">IF(B28="","",(IF(OR(B28="Batch brew / drip",B28="Cold brew"),'💰 Ingredient Prices'!C12,IF(C28="",0,C28)*'💰 Ingredient Prices'!C11))+(IF(D28="None",0,IF(D28="Dairy",'💰 Ingredient Prices'!C16/1000*IF(E28="",0,E28),IF(D28="Oat",'💰 Ingredient Prices'!C17/1000*IF(E28="",0,E28),IF(D28="Almond",'💰 Ingredient Prices'!C18/1000*IF(E28="",0,E28),IF(D28="Soy",'💰 Ingredient Prices'!C19/1000*IF(E28="",0,E28),IF(D28="Coconut",'💰 Ingredient Prices'!C20/1000*IF(E28="",0,E28),0)))))))+IF(F28="",0,F28)*'💰 Ingredient Prices'!E26+(IF(G28="Small",'💰 Ingredient Prices'!C35+'💰 Ingredient Prices'!C38,IF(G28="Medium",'💰 Ingredient Prices'!C36+'💰 Ingredient Prices'!C38,IF(G28="Large",'💰 Ingredient Prices'!C37+'💰 Ingredient Prices'!C38,0)))+IF(H28="Y",'💰 Ingredient Prices'!C40,0))+IF(I28="",0,I28))</f>
        <v/>
      </c>
    </row>
    <row r="29" customFormat="false" ht="18" hidden="false" customHeight="true" outlineLevel="0" collapsed="false">
      <c r="B29" s="11"/>
      <c r="C29" s="22"/>
      <c r="D29" s="22"/>
      <c r="E29" s="22"/>
      <c r="F29" s="22"/>
      <c r="G29" s="22"/>
      <c r="H29" s="22"/>
      <c r="I29" s="35"/>
      <c r="J29" s="40" t="str">
        <f aca="false">IF(B29="","",(IF(OR(B29="Batch brew / drip",B29="Cold brew"),'💰 Ingredient Prices'!C12,IF(C29="",0,C29)*'💰 Ingredient Prices'!C11))+(IF(D29="None",0,IF(D29="Dairy",'💰 Ingredient Prices'!C16/1000*IF(E29="",0,E29),IF(D29="Oat",'💰 Ingredient Prices'!C17/1000*IF(E29="",0,E29),IF(D29="Almond",'💰 Ingredient Prices'!C18/1000*IF(E29="",0,E29),IF(D29="Soy",'💰 Ingredient Prices'!C19/1000*IF(E29="",0,E29),IF(D29="Coconut",'💰 Ingredient Prices'!C20/1000*IF(E29="",0,E29),0)))))))+IF(F29="",0,F29)*'💰 Ingredient Prices'!E26+(IF(G29="Small",'💰 Ingredient Prices'!C35+'💰 Ingredient Prices'!C38,IF(G29="Medium",'💰 Ingredient Prices'!C36+'💰 Ingredient Prices'!C38,IF(G29="Large",'💰 Ingredient Prices'!C37+'💰 Ingredient Prices'!C38,0)))+IF(H29="Y",'💰 Ingredient Prices'!C40,0))+IF(I29="",0,I29))</f>
        <v/>
      </c>
    </row>
    <row r="30" customFormat="false" ht="18" hidden="false" customHeight="true" outlineLevel="0" collapsed="false">
      <c r="B30" s="11"/>
      <c r="C30" s="22"/>
      <c r="D30" s="22"/>
      <c r="E30" s="22"/>
      <c r="F30" s="22"/>
      <c r="G30" s="22"/>
      <c r="H30" s="22"/>
      <c r="I30" s="35"/>
      <c r="J30" s="40" t="str">
        <f aca="false">IF(B30="","",(IF(OR(B30="Batch brew / drip",B30="Cold brew"),'💰 Ingredient Prices'!C12,IF(C30="",0,C30)*'💰 Ingredient Prices'!C11))+(IF(D30="None",0,IF(D30="Dairy",'💰 Ingredient Prices'!C16/1000*IF(E30="",0,E30),IF(D30="Oat",'💰 Ingredient Prices'!C17/1000*IF(E30="",0,E30),IF(D30="Almond",'💰 Ingredient Prices'!C18/1000*IF(E30="",0,E30),IF(D30="Soy",'💰 Ingredient Prices'!C19/1000*IF(E30="",0,E30),IF(D30="Coconut",'💰 Ingredient Prices'!C20/1000*IF(E30="",0,E30),0)))))))+IF(F30="",0,F30)*'💰 Ingredient Prices'!E26+(IF(G30="Small",'💰 Ingredient Prices'!C35+'💰 Ingredient Prices'!C38,IF(G30="Medium",'💰 Ingredient Prices'!C36+'💰 Ingredient Prices'!C38,IF(G30="Large",'💰 Ingredient Prices'!C37+'💰 Ingredient Prices'!C38,0)))+IF(H30="Y",'💰 Ingredient Prices'!C40,0))+IF(I30="",0,I30))</f>
        <v/>
      </c>
    </row>
    <row r="31" customFormat="false" ht="18" hidden="false" customHeight="true" outlineLevel="0" collapsed="false">
      <c r="B31" s="11"/>
      <c r="C31" s="22"/>
      <c r="D31" s="22"/>
      <c r="E31" s="22"/>
      <c r="F31" s="22"/>
      <c r="G31" s="22"/>
      <c r="H31" s="22"/>
      <c r="I31" s="35"/>
      <c r="J31" s="40" t="str">
        <f aca="false">IF(B31="","",(IF(OR(B31="Batch brew / drip",B31="Cold brew"),'💰 Ingredient Prices'!C12,IF(C31="",0,C31)*'💰 Ingredient Prices'!C11))+(IF(D31="None",0,IF(D31="Dairy",'💰 Ingredient Prices'!C16/1000*IF(E31="",0,E31),IF(D31="Oat",'💰 Ingredient Prices'!C17/1000*IF(E31="",0,E31),IF(D31="Almond",'💰 Ingredient Prices'!C18/1000*IF(E31="",0,E31),IF(D31="Soy",'💰 Ingredient Prices'!C19/1000*IF(E31="",0,E31),IF(D31="Coconut",'💰 Ingredient Prices'!C20/1000*IF(E31="",0,E31),0)))))))+IF(F31="",0,F31)*'💰 Ingredient Prices'!E26+(IF(G31="Small",'💰 Ingredient Prices'!C35+'💰 Ingredient Prices'!C38,IF(G31="Medium",'💰 Ingredient Prices'!C36+'💰 Ingredient Prices'!C38,IF(G31="Large",'💰 Ingredient Prices'!C37+'💰 Ingredient Prices'!C38,0)))+IF(H31="Y",'💰 Ingredient Prices'!C40,0))+IF(I31="",0,I31))</f>
        <v/>
      </c>
    </row>
    <row r="32" customFormat="false" ht="18" hidden="false" customHeight="true" outlineLevel="0" collapsed="false">
      <c r="B32" s="11"/>
      <c r="C32" s="22"/>
      <c r="D32" s="22"/>
      <c r="E32" s="22"/>
      <c r="F32" s="22"/>
      <c r="G32" s="22"/>
      <c r="H32" s="22"/>
      <c r="I32" s="35"/>
      <c r="J32" s="40" t="str">
        <f aca="false">IF(B32="","",(IF(OR(B32="Batch brew / drip",B32="Cold brew"),'💰 Ingredient Prices'!C12,IF(C32="",0,C32)*'💰 Ingredient Prices'!C11))+(IF(D32="None",0,IF(D32="Dairy",'💰 Ingredient Prices'!C16/1000*IF(E32="",0,E32),IF(D32="Oat",'💰 Ingredient Prices'!C17/1000*IF(E32="",0,E32),IF(D32="Almond",'💰 Ingredient Prices'!C18/1000*IF(E32="",0,E32),IF(D32="Soy",'💰 Ingredient Prices'!C19/1000*IF(E32="",0,E32),IF(D32="Coconut",'💰 Ingredient Prices'!C20/1000*IF(E32="",0,E32),0)))))))+IF(F32="",0,F32)*'💰 Ingredient Prices'!E26+(IF(G32="Small",'💰 Ingredient Prices'!C35+'💰 Ingredient Prices'!C38,IF(G32="Medium",'💰 Ingredient Prices'!C36+'💰 Ingredient Prices'!C38,IF(G32="Large",'💰 Ingredient Prices'!C37+'💰 Ingredient Prices'!C38,0)))+IF(H32="Y",'💰 Ingredient Prices'!C40,0))+IF(I32="",0,I32))</f>
        <v/>
      </c>
    </row>
    <row r="33" customFormat="false" ht="18" hidden="false" customHeight="true" outlineLevel="0" collapsed="false">
      <c r="B33" s="11"/>
      <c r="C33" s="22"/>
      <c r="D33" s="22"/>
      <c r="E33" s="22"/>
      <c r="F33" s="22"/>
      <c r="G33" s="22"/>
      <c r="H33" s="22"/>
      <c r="I33" s="35"/>
      <c r="J33" s="40" t="str">
        <f aca="false">IF(B33="","",(IF(OR(B33="Batch brew / drip",B33="Cold brew"),'💰 Ingredient Prices'!C12,IF(C33="",0,C33)*'💰 Ingredient Prices'!C11))+(IF(D33="None",0,IF(D33="Dairy",'💰 Ingredient Prices'!C16/1000*IF(E33="",0,E33),IF(D33="Oat",'💰 Ingredient Prices'!C17/1000*IF(E33="",0,E33),IF(D33="Almond",'💰 Ingredient Prices'!C18/1000*IF(E33="",0,E33),IF(D33="Soy",'💰 Ingredient Prices'!C19/1000*IF(E33="",0,E33),IF(D33="Coconut",'💰 Ingredient Prices'!C20/1000*IF(E33="",0,E33),0)))))))+IF(F33="",0,F33)*'💰 Ingredient Prices'!E26+(IF(G33="Small",'💰 Ingredient Prices'!C35+'💰 Ingredient Prices'!C38,IF(G33="Medium",'💰 Ingredient Prices'!C36+'💰 Ingredient Prices'!C38,IF(G33="Large",'💰 Ingredient Prices'!C37+'💰 Ingredient Prices'!C38,0)))+IF(H33="Y",'💰 Ingredient Prices'!C40,0))+IF(I33="",0,I33))</f>
        <v/>
      </c>
    </row>
  </sheetData>
  <mergeCells count="4">
    <mergeCell ref="B2:J2"/>
    <mergeCell ref="B3:J3"/>
    <mergeCell ref="B4:J4"/>
    <mergeCell ref="B6:J6"/>
  </mergeCells>
  <dataValidations count="3">
    <dataValidation allowBlank="true" error="Please enter: Dairy, Oat, Almond, Soy, Coconut, or None" errorStyle="stop" errorTitle="Invalid milk type" operator="between" showDropDown="false" showErrorMessage="true" showInputMessage="false" sqref="D8:D33" type="list">
      <formula1>"Dairy,Oat,Almond,Soy,Coconut,None"</formula1>
      <formula2>0</formula2>
    </dataValidation>
    <dataValidation allowBlank="true" errorStyle="stop" operator="between" showDropDown="false" showErrorMessage="false" showInputMessage="false" sqref="G8:G33" type="list">
      <formula1>"Small,Medium,Large"</formula1>
      <formula2>0</formula2>
    </dataValidation>
    <dataValidation allowBlank="true" errorStyle="stop" operator="between" showDropDown="false" showErrorMessage="false" showInputMessage="false" sqref="H8:H33"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6B39D"/>
    <pageSetUpPr fitToPage="false"/>
  </sheetPr>
  <dimension ref="B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5" min="3" style="0" width="16"/>
    <col collapsed="false" customWidth="true" hidden="false" outlineLevel="0" max="6" min="6" style="0" width="14"/>
    <col collapsed="false" customWidth="true" hidden="false" outlineLevel="0" max="7" min="7" style="0" width="16"/>
    <col collapsed="false" customWidth="true" hidden="false" outlineLevel="0" max="8" min="8" style="0" width="18"/>
    <col collapsed="false" customWidth="true" hidden="false" outlineLevel="0" max="9" min="9" style="0" width="2"/>
  </cols>
  <sheetData>
    <row r="1" customFormat="false" ht="7.5" hidden="false" customHeight="true" outlineLevel="0" collapsed="false"/>
    <row r="2" customFormat="false" ht="43.5" hidden="false" customHeight="true" outlineLevel="0" collapsed="false">
      <c r="B2" s="16" t="s">
        <v>147</v>
      </c>
      <c r="C2" s="16"/>
      <c r="D2" s="16"/>
      <c r="E2" s="16"/>
      <c r="F2" s="16"/>
      <c r="G2" s="16"/>
      <c r="H2" s="16"/>
    </row>
    <row r="3" customFormat="false" ht="21.75" hidden="false" customHeight="true" outlineLevel="0" collapsed="false">
      <c r="B3" s="17" t="s">
        <v>148</v>
      </c>
      <c r="C3" s="17"/>
      <c r="D3" s="17"/>
      <c r="E3" s="17"/>
      <c r="F3" s="17"/>
      <c r="G3" s="17"/>
      <c r="H3" s="17"/>
    </row>
    <row r="4" customFormat="false" ht="13.5" hidden="false" customHeight="true" outlineLevel="0" collapsed="false">
      <c r="B4" s="18" t="s">
        <v>149</v>
      </c>
      <c r="C4" s="18"/>
      <c r="D4" s="18"/>
      <c r="E4" s="18"/>
      <c r="F4" s="18"/>
      <c r="G4" s="18"/>
      <c r="H4" s="18"/>
    </row>
    <row r="6" customFormat="false" ht="13.5" hidden="false" customHeight="true" outlineLevel="0" collapsed="false">
      <c r="B6" s="38" t="s">
        <v>150</v>
      </c>
      <c r="C6" s="38"/>
      <c r="D6" s="38"/>
      <c r="E6" s="38"/>
      <c r="F6" s="38"/>
      <c r="G6" s="38"/>
      <c r="H6" s="38"/>
    </row>
    <row r="7" customFormat="false" ht="27.75" hidden="false" customHeight="true" outlineLevel="0" collapsed="false">
      <c r="B7" s="39" t="s">
        <v>112</v>
      </c>
      <c r="C7" s="39" t="s">
        <v>151</v>
      </c>
      <c r="D7" s="39" t="s">
        <v>152</v>
      </c>
      <c r="E7" s="39" t="s">
        <v>153</v>
      </c>
      <c r="F7" s="39" t="s">
        <v>154</v>
      </c>
      <c r="G7" s="39" t="s">
        <v>155</v>
      </c>
      <c r="H7" s="39" t="s">
        <v>156</v>
      </c>
    </row>
    <row r="8" customFormat="false" ht="18" hidden="false" customHeight="true" outlineLevel="0" collapsed="false">
      <c r="B8" s="41" t="str">
        <f aca="false">'☕ Drink Builder'!B8</f>
        <v>Espresso (single)</v>
      </c>
      <c r="C8" s="42" t="n">
        <f aca="false">IF('☕ Drink Builder'!B8="","",IF('☕ Drink Builder'!J8="",0,'☕ Drink Builder'!J8))</f>
        <v>0.4698</v>
      </c>
      <c r="D8" s="20"/>
      <c r="E8" s="43" t="str">
        <f aca="false">IF(OR(B8="",D8=""),"",D8-C8)</f>
        <v/>
      </c>
      <c r="F8" s="44" t="str">
        <f aca="false">IF(OR(B8="",D8="",D8=0),"",E8/D8)</f>
        <v/>
      </c>
      <c r="G8" s="45"/>
      <c r="H8" s="44" t="str">
        <f aca="false">IF(OR(F8="",G8=""),"",F8*G8)</f>
        <v/>
      </c>
    </row>
    <row r="9" customFormat="false" ht="18" hidden="false" customHeight="true" outlineLevel="0" collapsed="false">
      <c r="B9" s="13" t="str">
        <f aca="false">'☕ Drink Builder'!B9</f>
        <v>Double espresso</v>
      </c>
      <c r="C9" s="46" t="n">
        <f aca="false">IF('☕ Drink Builder'!B9="","",IF('☕ Drink Builder'!J9="",0,'☕ Drink Builder'!J9))</f>
        <v>0.7596</v>
      </c>
      <c r="D9" s="20"/>
      <c r="E9" s="47" t="str">
        <f aca="false">IF(OR(B9="",D9=""),"",D9-C9)</f>
        <v/>
      </c>
      <c r="F9" s="48" t="str">
        <f aca="false">IF(OR(B9="",D9="",D9=0),"",E9/D9)</f>
        <v/>
      </c>
      <c r="G9" s="45"/>
      <c r="H9" s="48" t="str">
        <f aca="false">IF(OR(F9="",G9=""),"",F9*G9)</f>
        <v/>
      </c>
    </row>
    <row r="10" customFormat="false" ht="18" hidden="false" customHeight="true" outlineLevel="0" collapsed="false">
      <c r="B10" s="41" t="str">
        <f aca="false">'☕ Drink Builder'!B10</f>
        <v>Macchiato</v>
      </c>
      <c r="C10" s="42" t="n">
        <f aca="false">IF('☕ Drink Builder'!B10="","",IF('☕ Drink Builder'!J10="",0,'☕ Drink Builder'!J10))</f>
        <v>0.7956</v>
      </c>
      <c r="D10" s="20"/>
      <c r="E10" s="43" t="str">
        <f aca="false">IF(OR(B10="",D10=""),"",D10-C10)</f>
        <v/>
      </c>
      <c r="F10" s="44" t="str">
        <f aca="false">IF(OR(B10="",D10="",D10=0),"",E10/D10)</f>
        <v/>
      </c>
      <c r="G10" s="45"/>
      <c r="H10" s="44" t="str">
        <f aca="false">IF(OR(F10="",G10=""),"",F10*G10)</f>
        <v/>
      </c>
    </row>
    <row r="11" customFormat="false" ht="18" hidden="false" customHeight="true" outlineLevel="0" collapsed="false">
      <c r="B11" s="13" t="str">
        <f aca="false">'☕ Drink Builder'!B11</f>
        <v>Cortado</v>
      </c>
      <c r="C11" s="46" t="n">
        <f aca="false">IF('☕ Drink Builder'!B11="","",IF('☕ Drink Builder'!J11="",0,'☕ Drink Builder'!J11))</f>
        <v>0.8316</v>
      </c>
      <c r="D11" s="20"/>
      <c r="E11" s="47" t="str">
        <f aca="false">IF(OR(B11="",D11=""),"",D11-C11)</f>
        <v/>
      </c>
      <c r="F11" s="48" t="str">
        <f aca="false">IF(OR(B11="",D11="",D11=0),"",E11/D11)</f>
        <v/>
      </c>
      <c r="G11" s="45"/>
      <c r="H11" s="48" t="str">
        <f aca="false">IF(OR(F11="",G11=""),"",F11*G11)</f>
        <v/>
      </c>
    </row>
    <row r="12" customFormat="false" ht="18" hidden="false" customHeight="true" outlineLevel="0" collapsed="false">
      <c r="B12" s="41" t="str">
        <f aca="false">'☕ Drink Builder'!B12</f>
        <v>Flat white</v>
      </c>
      <c r="C12" s="42" t="n">
        <f aca="false">IF('☕ Drink Builder'!B12="","",IF('☕ Drink Builder'!J12="",0,'☕ Drink Builder'!J12))</f>
        <v>1.0456</v>
      </c>
      <c r="D12" s="20"/>
      <c r="E12" s="43" t="str">
        <f aca="false">IF(OR(B12="",D12=""),"",D12-C12)</f>
        <v/>
      </c>
      <c r="F12" s="44" t="str">
        <f aca="false">IF(OR(B12="",D12="",D12=0),"",E12/D12)</f>
        <v/>
      </c>
      <c r="G12" s="45"/>
      <c r="H12" s="44" t="str">
        <f aca="false">IF(OR(F12="",G12=""),"",F12*G12)</f>
        <v/>
      </c>
    </row>
    <row r="13" customFormat="false" ht="18" hidden="false" customHeight="true" outlineLevel="0" collapsed="false">
      <c r="B13" s="13" t="str">
        <f aca="false">'☕ Drink Builder'!B13</f>
        <v>Flat white (oat milk)</v>
      </c>
      <c r="C13" s="46" t="n">
        <f aca="false">IF('☕ Drink Builder'!B13="","",IF('☕ Drink Builder'!J13="",0,'☕ Drink Builder'!J13))</f>
        <v>1.3336</v>
      </c>
      <c r="D13" s="20"/>
      <c r="E13" s="47" t="str">
        <f aca="false">IF(OR(B13="",D13=""),"",D13-C13)</f>
        <v/>
      </c>
      <c r="F13" s="48" t="str">
        <f aca="false">IF(OR(B13="",D13="",D13=0),"",E13/D13)</f>
        <v/>
      </c>
      <c r="G13" s="45"/>
      <c r="H13" s="48" t="str">
        <f aca="false">IF(OR(F13="",G13=""),"",F13*G13)</f>
        <v/>
      </c>
    </row>
    <row r="14" customFormat="false" ht="18" hidden="false" customHeight="true" outlineLevel="0" collapsed="false">
      <c r="B14" s="41" t="str">
        <f aca="false">'☕ Drink Builder'!B14</f>
        <v>Cappuccino</v>
      </c>
      <c r="C14" s="42" t="n">
        <f aca="false">IF('☕ Drink Builder'!B14="","",IF('☕ Drink Builder'!J14="",0,'☕ Drink Builder'!J14))</f>
        <v>1.0456</v>
      </c>
      <c r="D14" s="20"/>
      <c r="E14" s="43" t="str">
        <f aca="false">IF(OR(B14="",D14=""),"",D14-C14)</f>
        <v/>
      </c>
      <c r="F14" s="44" t="str">
        <f aca="false">IF(OR(B14="",D14="",D14=0),"",E14/D14)</f>
        <v/>
      </c>
      <c r="G14" s="45"/>
      <c r="H14" s="44" t="str">
        <f aca="false">IF(OR(F14="",G14=""),"",F14*G14)</f>
        <v/>
      </c>
    </row>
    <row r="15" customFormat="false" ht="18" hidden="false" customHeight="true" outlineLevel="0" collapsed="false">
      <c r="B15" s="13" t="str">
        <f aca="false">'☕ Drink Builder'!B15</f>
        <v>Latte</v>
      </c>
      <c r="C15" s="46" t="n">
        <f aca="false">IF('☕ Drink Builder'!B15="","",IF('☕ Drink Builder'!J15="",0,'☕ Drink Builder'!J15))</f>
        <v>1.1176</v>
      </c>
      <c r="D15" s="20"/>
      <c r="E15" s="47" t="str">
        <f aca="false">IF(OR(B15="",D15=""),"",D15-C15)</f>
        <v/>
      </c>
      <c r="F15" s="48" t="str">
        <f aca="false">IF(OR(B15="",D15="",D15=0),"",E15/D15)</f>
        <v/>
      </c>
      <c r="G15" s="45"/>
      <c r="H15" s="48" t="str">
        <f aca="false">IF(OR(F15="",G15=""),"",F15*G15)</f>
        <v/>
      </c>
    </row>
    <row r="16" customFormat="false" ht="18" hidden="false" customHeight="true" outlineLevel="0" collapsed="false">
      <c r="B16" s="41" t="str">
        <f aca="false">'☕ Drink Builder'!B16</f>
        <v>Latte (oat milk)</v>
      </c>
      <c r="C16" s="42" t="n">
        <f aca="false">IF('☕ Drink Builder'!B16="","",IF('☕ Drink Builder'!J16="",0,'☕ Drink Builder'!J16))</f>
        <v>1.5016</v>
      </c>
      <c r="D16" s="20"/>
      <c r="E16" s="43" t="str">
        <f aca="false">IF(OR(B16="",D16=""),"",D16-C16)</f>
        <v/>
      </c>
      <c r="F16" s="44" t="str">
        <f aca="false">IF(OR(B16="",D16="",D16=0),"",E16/D16)</f>
        <v/>
      </c>
      <c r="G16" s="45"/>
      <c r="H16" s="44" t="str">
        <f aca="false">IF(OR(F16="",G16=""),"",F16*G16)</f>
        <v/>
      </c>
    </row>
    <row r="17" customFormat="false" ht="18" hidden="false" customHeight="true" outlineLevel="0" collapsed="false">
      <c r="B17" s="13" t="str">
        <f aca="false">'☕ Drink Builder'!B17</f>
        <v>Large latte</v>
      </c>
      <c r="C17" s="46" t="n">
        <f aca="false">IF('☕ Drink Builder'!B17="","",IF('☕ Drink Builder'!J17="",0,'☕ Drink Builder'!J17))</f>
        <v>1.2096</v>
      </c>
      <c r="D17" s="20"/>
      <c r="E17" s="47" t="str">
        <f aca="false">IF(OR(B17="",D17=""),"",D17-C17)</f>
        <v/>
      </c>
      <c r="F17" s="48" t="str">
        <f aca="false">IF(OR(B17="",D17="",D17=0),"",E17/D17)</f>
        <v/>
      </c>
      <c r="G17" s="45"/>
      <c r="H17" s="48" t="str">
        <f aca="false">IF(OR(F17="",G17=""),"",F17*G17)</f>
        <v/>
      </c>
    </row>
    <row r="18" customFormat="false" ht="18" hidden="false" customHeight="true" outlineLevel="0" collapsed="false">
      <c r="B18" s="41" t="str">
        <f aca="false">'☕ Drink Builder'!B18</f>
        <v>Vanilla latte</v>
      </c>
      <c r="C18" s="42" t="n">
        <f aca="false">IF('☕ Drink Builder'!B18="","",IF('☕ Drink Builder'!J18="",0,'☕ Drink Builder'!J18))</f>
        <v>1.2976</v>
      </c>
      <c r="D18" s="20"/>
      <c r="E18" s="43" t="str">
        <f aca="false">IF(OR(B18="",D18=""),"",D18-C18)</f>
        <v/>
      </c>
      <c r="F18" s="44" t="str">
        <f aca="false">IF(OR(B18="",D18="",D18=0),"",E18/D18)</f>
        <v/>
      </c>
      <c r="G18" s="45"/>
      <c r="H18" s="44" t="str">
        <f aca="false">IF(OR(F18="",G18=""),"",F18*G18)</f>
        <v/>
      </c>
    </row>
    <row r="19" customFormat="false" ht="18" hidden="false" customHeight="true" outlineLevel="0" collapsed="false">
      <c r="B19" s="13" t="str">
        <f aca="false">'☕ Drink Builder'!B19</f>
        <v>Batch brew / drip</v>
      </c>
      <c r="C19" s="46" t="n">
        <f aca="false">IF('☕ Drink Builder'!B19="","",IF('☕ Drink Builder'!J19="",0,'☕ Drink Builder'!J19))</f>
        <v>0.547</v>
      </c>
      <c r="D19" s="20"/>
      <c r="E19" s="47" t="str">
        <f aca="false">IF(OR(B19="",D19=""),"",D19-C19)</f>
        <v/>
      </c>
      <c r="F19" s="48" t="str">
        <f aca="false">IF(OR(B19="",D19="",D19=0),"",E19/D19)</f>
        <v/>
      </c>
      <c r="G19" s="45"/>
      <c r="H19" s="48" t="str">
        <f aca="false">IF(OR(F19="",G19=""),"",F19*G19)</f>
        <v/>
      </c>
    </row>
    <row r="20" customFormat="false" ht="18" hidden="false" customHeight="true" outlineLevel="0" collapsed="false">
      <c r="B20" s="41" t="str">
        <f aca="false">'☕ Drink Builder'!B20</f>
        <v>Cold brew</v>
      </c>
      <c r="C20" s="42" t="n">
        <f aca="false">IF('☕ Drink Builder'!B20="","",IF('☕ Drink Builder'!J20="",0,'☕ Drink Builder'!J20))</f>
        <v>0.517</v>
      </c>
      <c r="D20" s="20"/>
      <c r="E20" s="43" t="str">
        <f aca="false">IF(OR(B20="",D20=""),"",D20-C20)</f>
        <v/>
      </c>
      <c r="F20" s="44" t="str">
        <f aca="false">IF(OR(B20="",D20="",D20=0),"",E20/D20)</f>
        <v/>
      </c>
      <c r="G20" s="45"/>
      <c r="H20" s="44" t="str">
        <f aca="false">IF(OR(F20="",G20=""),"",F20*G20)</f>
        <v/>
      </c>
    </row>
    <row r="21" customFormat="false" ht="18" hidden="false" customHeight="true" outlineLevel="0" collapsed="false">
      <c r="B21" s="13" t="str">
        <f aca="false">'☕ Drink Builder'!B21</f>
        <v>Iced latte</v>
      </c>
      <c r="C21" s="46" t="n">
        <f aca="false">IF('☕ Drink Builder'!B21="","",IF('☕ Drink Builder'!J21="",0,'☕ Drink Builder'!J21))</f>
        <v>1.0156</v>
      </c>
      <c r="D21" s="20"/>
      <c r="E21" s="47" t="str">
        <f aca="false">IF(OR(B21="",D21=""),"",D21-C21)</f>
        <v/>
      </c>
      <c r="F21" s="48" t="str">
        <f aca="false">IF(OR(B21="",D21="",D21=0),"",E21/D21)</f>
        <v/>
      </c>
      <c r="G21" s="45"/>
      <c r="H21" s="48" t="str">
        <f aca="false">IF(OR(F21="",G21=""),"",F21*G21)</f>
        <v/>
      </c>
    </row>
    <row r="22" customFormat="false" ht="18" hidden="false" customHeight="true" outlineLevel="0" collapsed="false">
      <c r="B22" s="41" t="str">
        <f aca="false">'☕ Drink Builder'!B22</f>
        <v>Matcha latte</v>
      </c>
      <c r="C22" s="42" t="n">
        <f aca="false">IF('☕ Drink Builder'!B22="","",IF('☕ Drink Builder'!J22="",0,'☕ Drink Builder'!J22))</f>
        <v>0.538</v>
      </c>
      <c r="D22" s="20"/>
      <c r="E22" s="43" t="str">
        <f aca="false">IF(OR(B22="",D22=""),"",D22-C22)</f>
        <v/>
      </c>
      <c r="F22" s="44" t="str">
        <f aca="false">IF(OR(B22="",D22="",D22=0),"",E22/D22)</f>
        <v/>
      </c>
      <c r="G22" s="45"/>
      <c r="H22" s="44" t="str">
        <f aca="false">IF(OR(F22="",G22=""),"",F22*G22)</f>
        <v/>
      </c>
    </row>
    <row r="23" customFormat="false" ht="18" hidden="false" customHeight="true" outlineLevel="0" collapsed="false">
      <c r="B23" s="13" t="str">
        <f aca="false">'☕ Drink Builder'!B23</f>
        <v>Chai latte</v>
      </c>
      <c r="C23" s="46" t="n">
        <f aca="false">IF('☕ Drink Builder'!B23="","",IF('☕ Drink Builder'!J23="",0,'☕ Drink Builder'!J23))</f>
        <v>0.538</v>
      </c>
      <c r="D23" s="20"/>
      <c r="E23" s="47" t="str">
        <f aca="false">IF(OR(B23="",D23=""),"",D23-C23)</f>
        <v/>
      </c>
      <c r="F23" s="48" t="str">
        <f aca="false">IF(OR(B23="",D23="",D23=0),"",E23/D23)</f>
        <v/>
      </c>
      <c r="G23" s="45"/>
      <c r="H23" s="48" t="str">
        <f aca="false">IF(OR(F23="",G23=""),"",F23*G23)</f>
        <v/>
      </c>
    </row>
    <row r="24" customFormat="false" ht="18" hidden="false" customHeight="true" outlineLevel="0" collapsed="false">
      <c r="B24" s="41" t="str">
        <f aca="false">'☕ Drink Builder'!B24</f>
        <v>Hot chocolate</v>
      </c>
      <c r="C24" s="42" t="n">
        <f aca="false">IF('☕ Drink Builder'!B24="","",IF('☕ Drink Builder'!J24="",0,'☕ Drink Builder'!J24))</f>
        <v>0.538</v>
      </c>
      <c r="D24" s="20"/>
      <c r="E24" s="43" t="str">
        <f aca="false">IF(OR(B24="",D24=""),"",D24-C24)</f>
        <v/>
      </c>
      <c r="F24" s="44" t="str">
        <f aca="false">IF(OR(B24="",D24="",D24=0),"",E24/D24)</f>
        <v/>
      </c>
      <c r="G24" s="45"/>
      <c r="H24" s="44" t="str">
        <f aca="false">IF(OR(F24="",G24=""),"",F24*G24)</f>
        <v/>
      </c>
    </row>
    <row r="25" customFormat="false" ht="18" hidden="false" customHeight="true" outlineLevel="0" collapsed="false">
      <c r="B25" s="13" t="str">
        <f aca="false">'☕ Drink Builder'!B25</f>
        <v>Signature drink</v>
      </c>
      <c r="C25" s="46" t="n">
        <f aca="false">IF('☕ Drink Builder'!B25="","",IF('☕ Drink Builder'!J25="",0,'☕ Drink Builder'!J25))</f>
        <v>1.5136</v>
      </c>
      <c r="D25" s="20"/>
      <c r="E25" s="47" t="str">
        <f aca="false">IF(OR(B25="",D25=""),"",D25-C25)</f>
        <v/>
      </c>
      <c r="F25" s="48" t="str">
        <f aca="false">IF(OR(B25="",D25="",D25=0),"",E25/D25)</f>
        <v/>
      </c>
      <c r="G25" s="45"/>
      <c r="H25" s="48" t="str">
        <f aca="false">IF(OR(F25="",G25=""),"",F25*G25)</f>
        <v/>
      </c>
    </row>
    <row r="26" customFormat="false" ht="18" hidden="false" customHeight="true" outlineLevel="0" collapsed="false">
      <c r="B26" s="41" t="n">
        <f aca="false">'☕ Drink Builder'!B26</f>
        <v>0</v>
      </c>
      <c r="C26" s="42" t="str">
        <f aca="false">IF('☕ Drink Builder'!B26="","",IF('☕ Drink Builder'!J26="",0,'☕ Drink Builder'!J26))</f>
        <v/>
      </c>
      <c r="D26" s="20"/>
      <c r="E26" s="43" t="str">
        <f aca="false">IF(OR(B26="",D26=""),"",D26-C26)</f>
        <v/>
      </c>
      <c r="F26" s="44" t="str">
        <f aca="false">IF(OR(B26="",D26="",D26=0),"",E26/D26)</f>
        <v/>
      </c>
      <c r="G26" s="45"/>
      <c r="H26" s="44" t="str">
        <f aca="false">IF(OR(F26="",G26=""),"",F26*G26)</f>
        <v/>
      </c>
    </row>
    <row r="27" customFormat="false" ht="18" hidden="false" customHeight="true" outlineLevel="0" collapsed="false">
      <c r="B27" s="13" t="n">
        <f aca="false">'☕ Drink Builder'!B27</f>
        <v>0</v>
      </c>
      <c r="C27" s="46" t="str">
        <f aca="false">IF('☕ Drink Builder'!B27="","",IF('☕ Drink Builder'!J27="",0,'☕ Drink Builder'!J27))</f>
        <v/>
      </c>
      <c r="D27" s="20"/>
      <c r="E27" s="47" t="str">
        <f aca="false">IF(OR(B27="",D27=""),"",D27-C27)</f>
        <v/>
      </c>
      <c r="F27" s="48" t="str">
        <f aca="false">IF(OR(B27="",D27="",D27=0),"",E27/D27)</f>
        <v/>
      </c>
      <c r="G27" s="45"/>
      <c r="H27" s="48" t="str">
        <f aca="false">IF(OR(F27="",G27=""),"",F27*G27)</f>
        <v/>
      </c>
    </row>
    <row r="28" customFormat="false" ht="18" hidden="false" customHeight="true" outlineLevel="0" collapsed="false">
      <c r="B28" s="41" t="n">
        <f aca="false">'☕ Drink Builder'!B28</f>
        <v>0</v>
      </c>
      <c r="C28" s="42" t="str">
        <f aca="false">IF('☕ Drink Builder'!B28="","",IF('☕ Drink Builder'!J28="",0,'☕ Drink Builder'!J28))</f>
        <v/>
      </c>
      <c r="D28" s="20"/>
      <c r="E28" s="43" t="str">
        <f aca="false">IF(OR(B28="",D28=""),"",D28-C28)</f>
        <v/>
      </c>
      <c r="F28" s="44" t="str">
        <f aca="false">IF(OR(B28="",D28="",D28=0),"",E28/D28)</f>
        <v/>
      </c>
      <c r="G28" s="45"/>
      <c r="H28" s="44" t="str">
        <f aca="false">IF(OR(F28="",G28=""),"",F28*G28)</f>
        <v/>
      </c>
    </row>
    <row r="29" customFormat="false" ht="18" hidden="false" customHeight="true" outlineLevel="0" collapsed="false">
      <c r="B29" s="13" t="n">
        <f aca="false">'☕ Drink Builder'!B29</f>
        <v>0</v>
      </c>
      <c r="C29" s="46" t="str">
        <f aca="false">IF('☕ Drink Builder'!B29="","",IF('☕ Drink Builder'!J29="",0,'☕ Drink Builder'!J29))</f>
        <v/>
      </c>
      <c r="D29" s="20"/>
      <c r="E29" s="47" t="str">
        <f aca="false">IF(OR(B29="",D29=""),"",D29-C29)</f>
        <v/>
      </c>
      <c r="F29" s="48" t="str">
        <f aca="false">IF(OR(B29="",D29="",D29=0),"",E29/D29)</f>
        <v/>
      </c>
      <c r="G29" s="45"/>
      <c r="H29" s="48" t="str">
        <f aca="false">IF(OR(F29="",G29=""),"",F29*G29)</f>
        <v/>
      </c>
    </row>
    <row r="30" customFormat="false" ht="18" hidden="false" customHeight="true" outlineLevel="0" collapsed="false">
      <c r="B30" s="41" t="n">
        <f aca="false">'☕ Drink Builder'!B30</f>
        <v>0</v>
      </c>
      <c r="C30" s="42" t="str">
        <f aca="false">IF('☕ Drink Builder'!B30="","",IF('☕ Drink Builder'!J30="",0,'☕ Drink Builder'!J30))</f>
        <v/>
      </c>
      <c r="D30" s="20"/>
      <c r="E30" s="43" t="str">
        <f aca="false">IF(OR(B30="",D30=""),"",D30-C30)</f>
        <v/>
      </c>
      <c r="F30" s="44" t="str">
        <f aca="false">IF(OR(B30="",D30="",D30=0),"",E30/D30)</f>
        <v/>
      </c>
      <c r="G30" s="45"/>
      <c r="H30" s="44" t="str">
        <f aca="false">IF(OR(F30="",G30=""),"",F30*G30)</f>
        <v/>
      </c>
    </row>
    <row r="31" customFormat="false" ht="18" hidden="false" customHeight="true" outlineLevel="0" collapsed="false">
      <c r="B31" s="13" t="n">
        <f aca="false">'☕ Drink Builder'!B31</f>
        <v>0</v>
      </c>
      <c r="C31" s="46" t="str">
        <f aca="false">IF('☕ Drink Builder'!B31="","",IF('☕ Drink Builder'!J31="",0,'☕ Drink Builder'!J31))</f>
        <v/>
      </c>
      <c r="D31" s="20"/>
      <c r="E31" s="47" t="str">
        <f aca="false">IF(OR(B31="",D31=""),"",D31-C31)</f>
        <v/>
      </c>
      <c r="F31" s="48" t="str">
        <f aca="false">IF(OR(B31="",D31="",D31=0),"",E31/D31)</f>
        <v/>
      </c>
      <c r="G31" s="45"/>
      <c r="H31" s="48" t="str">
        <f aca="false">IF(OR(F31="",G31=""),"",F31*G31)</f>
        <v/>
      </c>
    </row>
    <row r="32" customFormat="false" ht="18" hidden="false" customHeight="true" outlineLevel="0" collapsed="false">
      <c r="B32" s="41" t="n">
        <f aca="false">'☕ Drink Builder'!B32</f>
        <v>0</v>
      </c>
      <c r="C32" s="42" t="str">
        <f aca="false">IF('☕ Drink Builder'!B32="","",IF('☕ Drink Builder'!J32="",0,'☕ Drink Builder'!J32))</f>
        <v/>
      </c>
      <c r="D32" s="20"/>
      <c r="E32" s="43" t="str">
        <f aca="false">IF(OR(B32="",D32=""),"",D32-C32)</f>
        <v/>
      </c>
      <c r="F32" s="44" t="str">
        <f aca="false">IF(OR(B32="",D32="",D32=0),"",E32/D32)</f>
        <v/>
      </c>
      <c r="G32" s="45"/>
      <c r="H32" s="44" t="str">
        <f aca="false">IF(OR(F32="",G32=""),"",F32*G32)</f>
        <v/>
      </c>
    </row>
    <row r="33" customFormat="false" ht="18" hidden="false" customHeight="true" outlineLevel="0" collapsed="false">
      <c r="B33" s="13" t="n">
        <f aca="false">'☕ Drink Builder'!B33</f>
        <v>0</v>
      </c>
      <c r="C33" s="46" t="str">
        <f aca="false">IF('☕ Drink Builder'!B33="","",IF('☕ Drink Builder'!J33="",0,'☕ Drink Builder'!J33))</f>
        <v/>
      </c>
      <c r="D33" s="20"/>
      <c r="E33" s="47" t="str">
        <f aca="false">IF(OR(B33="",D33=""),"",D33-C33)</f>
        <v/>
      </c>
      <c r="F33" s="48" t="str">
        <f aca="false">IF(OR(B33="",D33="",D33=0),"",E33/D33)</f>
        <v/>
      </c>
      <c r="G33" s="45"/>
      <c r="H33" s="48" t="str">
        <f aca="false">IF(OR(F33="",G33=""),"",F33*G33)</f>
        <v/>
      </c>
    </row>
    <row r="34" customFormat="false" ht="21.75" hidden="false" customHeight="true" outlineLevel="0" collapsed="false">
      <c r="B34" s="49" t="s">
        <v>157</v>
      </c>
      <c r="C34" s="49"/>
      <c r="D34" s="49"/>
      <c r="E34" s="49"/>
      <c r="G34" s="50" t="n">
        <f aca="false">SUM(G8:G33)</f>
        <v>0</v>
      </c>
      <c r="H34" s="51" t="n">
        <f aca="false">IFERROR(SUM(H8:H33),0)</f>
        <v>0</v>
      </c>
    </row>
    <row r="36" customFormat="false" ht="18" hidden="false" customHeight="true" outlineLevel="0" collapsed="false">
      <c r="B36" s="5" t="s">
        <v>158</v>
      </c>
      <c r="C36" s="5"/>
      <c r="D36" s="5"/>
      <c r="E36" s="5"/>
      <c r="F36" s="5"/>
      <c r="G36" s="5"/>
      <c r="H36" s="5"/>
    </row>
    <row r="37" customFormat="false" ht="19.5" hidden="false" customHeight="true" outlineLevel="0" collapsed="false">
      <c r="B37" s="52" t="s">
        <v>159</v>
      </c>
      <c r="C37" s="53" t="n">
        <f aca="false">IFERROR(SUM(H8:H33),"-")</f>
        <v>0</v>
      </c>
      <c r="D37" s="36" t="s">
        <v>160</v>
      </c>
      <c r="E37" s="36"/>
      <c r="F37" s="36"/>
      <c r="G37" s="36"/>
      <c r="H37" s="36"/>
    </row>
    <row r="38" customFormat="false" ht="19.5" hidden="false" customHeight="true" outlineLevel="0" collapsed="false">
      <c r="B38" s="52" t="s">
        <v>161</v>
      </c>
      <c r="C38" s="54" t="str">
        <f aca="false">IFERROR(INDEX(B8:B33,MATCH(MIN(IF(F8:F33&lt;&gt;"",F8:F33)),F8:F33,0)),"-")</f>
        <v>-</v>
      </c>
      <c r="D38" s="36" t="s">
        <v>162</v>
      </c>
      <c r="E38" s="36"/>
      <c r="F38" s="36"/>
      <c r="G38" s="36"/>
      <c r="H38" s="36"/>
    </row>
    <row r="39" customFormat="false" ht="19.5" hidden="false" customHeight="true" outlineLevel="0" collapsed="false">
      <c r="B39" s="52" t="s">
        <v>163</v>
      </c>
      <c r="C39" s="54" t="str">
        <f aca="false">IFERROR(INDEX(B8:B33,MATCH(MAX(F8:F33),F8:F33,0)),"-")</f>
        <v>-</v>
      </c>
      <c r="D39" s="36" t="s">
        <v>164</v>
      </c>
      <c r="E39" s="36"/>
      <c r="F39" s="36"/>
      <c r="G39" s="36"/>
      <c r="H39" s="36"/>
    </row>
    <row r="40" customFormat="false" ht="19.5" hidden="false" customHeight="true" outlineLevel="0" collapsed="false">
      <c r="B40" s="52" t="s">
        <v>165</v>
      </c>
      <c r="C40" s="55" t="n">
        <f aca="false">COUNTIF(F8:F33,"&lt;0.65")</f>
        <v>0</v>
      </c>
      <c r="D40" s="36" t="s">
        <v>166</v>
      </c>
      <c r="E40" s="36"/>
      <c r="F40" s="36"/>
      <c r="G40" s="36"/>
      <c r="H40" s="36"/>
    </row>
    <row r="41" customFormat="false" ht="19.5" hidden="false" customHeight="true" outlineLevel="0" collapsed="false">
      <c r="B41" s="52" t="s">
        <v>167</v>
      </c>
      <c r="C41" s="56" t="n">
        <f aca="false">SUM(G8:G33)</f>
        <v>0</v>
      </c>
      <c r="D41" s="36" t="s">
        <v>168</v>
      </c>
      <c r="E41" s="36"/>
      <c r="F41" s="36"/>
      <c r="G41" s="36"/>
      <c r="H41" s="36"/>
    </row>
    <row r="43" customFormat="false" ht="13.5" hidden="false" customHeight="true" outlineLevel="0" collapsed="false">
      <c r="B43" s="57" t="s">
        <v>169</v>
      </c>
      <c r="C43" s="57"/>
      <c r="D43" s="57"/>
      <c r="E43" s="57"/>
      <c r="F43" s="57"/>
      <c r="G43" s="57"/>
      <c r="H43" s="57"/>
    </row>
    <row r="44" customFormat="false" ht="45.75" hidden="false" customHeight="true" outlineLevel="0" collapsed="false">
      <c r="B44" s="58" t="s">
        <v>170</v>
      </c>
      <c r="C44" s="58"/>
      <c r="D44" s="58"/>
      <c r="E44" s="58"/>
      <c r="F44" s="58"/>
      <c r="G44" s="58"/>
      <c r="H44" s="58"/>
    </row>
  </sheetData>
  <mergeCells count="13">
    <mergeCell ref="B2:H2"/>
    <mergeCell ref="B3:H3"/>
    <mergeCell ref="B4:H4"/>
    <mergeCell ref="B6:H6"/>
    <mergeCell ref="B34:E34"/>
    <mergeCell ref="B36:H36"/>
    <mergeCell ref="D37:H37"/>
    <mergeCell ref="D38:H38"/>
    <mergeCell ref="D39:H39"/>
    <mergeCell ref="D40:H40"/>
    <mergeCell ref="D41:H41"/>
    <mergeCell ref="B43:H43"/>
    <mergeCell ref="B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2026-02-18T15:46:35Z</dcterms:created>
  <dc:creator>openpyxl</dc:creator>
  <dc:description/>
  <dc:language>en-US</dc:language>
  <cp:lastModifiedBy/>
  <dcterms:modified xsi:type="dcterms:W3CDTF">2026-02-18T15:46:35Z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