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👋 Welcome" sheetId="1" state="visible" r:id="rId3"/>
    <sheet name="📋 Assumptions" sheetId="2" state="visible" r:id="rId4"/>
    <sheet name="📊 12-Month P&amp;L" sheetId="3" state="visible" r:id="rId5"/>
    <sheet name="🚀 Break-Even" sheetId="4" state="visible" r:id="rId6"/>
    <sheet name="🏗️ Startup Cos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<sst xmlns="http://schemas.openxmlformats.org/spreadsheetml/2006/main" count="226" uniqueCount="224">
  <si>
    <t xml:space="preserve">Coffee Shop Basecamp
Week 2 — Financial Model</t>
  </si>
  <si>
    <t xml:space="preserve">Your first financial model.</t>
  </si>
  <si>
    <t xml:space="preserve">This template is built specifically for coffee shops — not generic businesses.</t>
  </si>
  <si>
    <t xml:space="preserve">  Step 1: Go to the 📋 Assumptions tab</t>
  </si>
  <si>
    <t xml:space="preserve">  Fill in the blue cells with your numbers. Don't worry if you're estimating — that's the point. You can always update them.</t>
  </si>
  <si>
    <t xml:space="preserve">  Step 2: Check the 📊 12-Month P&amp;L tab</t>
  </si>
  <si>
    <t xml:space="preserve">  This updates automatically based on your assumptions. It shows your projected monthly income and expenses for your first year.</t>
  </si>
  <si>
    <t xml:space="preserve">  Step 3: Review the 🚀 Break-Even tab</t>
  </si>
  <si>
    <t xml:space="preserve">  See how many coffees you need to sell every day to cover your costs. This is the most important number.</t>
  </si>
  <si>
    <t xml:space="preserve">  Step 4: Look at the 🏗️ Startup Costs tab</t>
  </si>
  <si>
    <t xml:space="preserve">  Fill in the one-time costs to open your shop. This is separate from your monthly running costs.</t>
  </si>
  <si>
    <t xml:space="preserve">Colour Guide</t>
  </si>
  <si>
    <t xml:space="preserve">  ■  Blue numbers</t>
  </si>
  <si>
    <t xml:space="preserve">These are your inputs. Change them freely.</t>
  </si>
  <si>
    <t xml:space="preserve">  ■  Yellow cells</t>
  </si>
  <si>
    <t xml:space="preserve">Important inputs — make sure these are filled in.</t>
  </si>
  <si>
    <t xml:space="preserve">  ■  Black numbers</t>
  </si>
  <si>
    <t xml:space="preserve">Calculated automatically. Don't edit these.</t>
  </si>
  <si>
    <t xml:space="preserve">  ■  Green numbers</t>
  </si>
  <si>
    <t xml:space="preserve">Pulled from another tab in this workbook.</t>
  </si>
  <si>
    <t xml:space="preserve">💡 Tip: Your numbers don't need to be perfect. The goal is to practise the thinking, spot the risks, and start building your financial instincts.</t>
  </si>
  <si>
    <t xml:space="preserve">  📋 Your Assumptions — Fill in the blue cells</t>
  </si>
  <si>
    <t xml:space="preserve">  A — About Your Shop</t>
  </si>
  <si>
    <t xml:space="preserve">Shop name (optional)</t>
  </si>
  <si>
    <t xml:space="preserve">Just for your reference</t>
  </si>
  <si>
    <t xml:space="preserve">Which type of shop are you planning?</t>
  </si>
  <si>
    <t xml:space="preserve">e.g. Neighbourhood Café, Grab-and-Go, Drive-Through, Hybrid</t>
  </si>
  <si>
    <t xml:space="preserve">Approximate size of your space (sq ft)</t>
  </si>
  <si>
    <t xml:space="preserve">Your total floor area, including back-of-house</t>
  </si>
  <si>
    <t xml:space="preserve">Days open per week</t>
  </si>
  <si>
    <t xml:space="preserve">Most coffee shops are open 6–7 days</t>
  </si>
  <si>
    <t xml:space="preserve">Opening time</t>
  </si>
  <si>
    <t xml:space="preserve">6:30 AM</t>
  </si>
  <si>
    <t xml:space="preserve">What time do you open?</t>
  </si>
  <si>
    <t xml:space="preserve">Closing time</t>
  </si>
  <si>
    <t xml:space="preserve">5:00 PM</t>
  </si>
  <si>
    <t xml:space="preserve">What time do you close?</t>
  </si>
  <si>
    <t xml:space="preserve">Average trading hours per day</t>
  </si>
  <si>
    <t xml:space="preserve">Hours between open and close that generate sales</t>
  </si>
  <si>
    <t xml:space="preserve">  B — Daily Sales Assumptions</t>
  </si>
  <si>
    <t xml:space="preserve">These numbers drive your revenue projections. Estimate based on your shop type and location.</t>
  </si>
  <si>
    <t xml:space="preserve">Morning Rush (e.g. 7–10am)</t>
  </si>
  <si>
    <t xml:space="preserve">How many hours is your morning rush?</t>
  </si>
  <si>
    <t xml:space="preserve">Typically 2–4 hours</t>
  </si>
  <si>
    <t xml:space="preserve">Transactions per hour during morning rush</t>
  </si>
  <si>
    <t xml:space="preserve">Be realistic — a new shop won't hit capacity straight away</t>
  </si>
  <si>
    <t xml:space="preserve">Average spend per customer — morning</t>
  </si>
  <si>
    <t xml:space="preserve">Coffee + maybe a pastry</t>
  </si>
  <si>
    <t xml:space="preserve">Midday &amp; Afternoon (remaining hours)</t>
  </si>
  <si>
    <t xml:space="preserve">Transactions per hour outside peak</t>
  </si>
  <si>
    <t xml:space="preserve">Traffic is much lower outside the morning rush</t>
  </si>
  <si>
    <t xml:space="preserve">Average spend per customer — off-peak</t>
  </si>
  <si>
    <t xml:space="preserve">Usually slightly lower than morning</t>
  </si>
  <si>
    <t xml:space="preserve">Ramp-up — % of full sales in Month 1</t>
  </si>
  <si>
    <t xml:space="preserve">What % of full sales do you expect in Month 1?</t>
  </si>
  <si>
    <t xml:space="preserve">Most new shops start at 40–60% of capacity</t>
  </si>
  <si>
    <t xml:space="preserve">Months to reach full trading level</t>
  </si>
  <si>
    <t xml:space="preserve">Usually 4–8 months for a new café</t>
  </si>
  <si>
    <t xml:space="preserve">  C — Cost of Goods (What You Spend Making Each Drink/Item)</t>
  </si>
  <si>
    <t xml:space="preserve">Beverage COGS % (coffee, milk, syrups, cups)</t>
  </si>
  <si>
    <t xml:space="preserve">Industry range: 25–35%. Includes waste, over-pulling, milk wastage.</t>
  </si>
  <si>
    <t xml:space="preserve">Food COGS % (pastries, snacks, food items)</t>
  </si>
  <si>
    <t xml:space="preserve">Industry range: 30–40%. Lower if you wholesale-buy finished goods.</t>
  </si>
  <si>
    <t xml:space="preserve">% of revenue that is beverages</t>
  </si>
  <si>
    <t xml:space="preserve">Most cafés are 70–80% beverages, 20–30% food</t>
  </si>
  <si>
    <t xml:space="preserve">  D — Staffing Costs</t>
  </si>
  <si>
    <t xml:space="preserve">Number of staff on the floor at any one time</t>
  </si>
  <si>
    <t xml:space="preserve">Includes baristas, floor staff. Not you as owner.</t>
  </si>
  <si>
    <t xml:space="preserve">Average hourly wage (including taxes/benefits)</t>
  </si>
  <si>
    <t xml:space="preserve">All-in cost per hour per staff member</t>
  </si>
  <si>
    <t xml:space="preserve">Total paid staff hours per week</t>
  </si>
  <si>
    <t xml:space="preserve">e.g. 2 staff × 8 hrs × 5 days = 80 hrs</t>
  </si>
  <si>
    <t xml:space="preserve">Owner/manager hours per week (unpaid or drawn)</t>
  </si>
  <si>
    <t xml:space="preserve">Your own time — not always a wage in early days</t>
  </si>
  <si>
    <t xml:space="preserve">  E — Monthly Fixed Costs</t>
  </si>
  <si>
    <t xml:space="preserve">These costs happen every month regardless of how busy you are.</t>
  </si>
  <si>
    <t xml:space="preserve">Monthly rent (base rent only)</t>
  </si>
  <si>
    <t xml:space="preserve">This is usually your single biggest fixed cost</t>
  </si>
  <si>
    <t xml:space="preserve">Utilities (power, water, gas, internet)</t>
  </si>
  <si>
    <t xml:space="preserve">Coffee equipment uses a lot of power</t>
  </si>
  <si>
    <t xml:space="preserve">Insurance</t>
  </si>
  <si>
    <t xml:space="preserve">Public liability, contents, business interruption</t>
  </si>
  <si>
    <t xml:space="preserve">POS system / software subscriptions</t>
  </si>
  <si>
    <t xml:space="preserve">Point of sale, scheduling, accounting tools</t>
  </si>
  <si>
    <t xml:space="preserve">Marketing &amp; social media</t>
  </si>
  <si>
    <t xml:space="preserve">Budget for early-stage growth</t>
  </si>
  <si>
    <t xml:space="preserve">Supplies &amp; smallwares (ongoing)</t>
  </si>
  <si>
    <t xml:space="preserve">Cups, lids, cleaning products, etc.</t>
  </si>
  <si>
    <t xml:space="preserve">Loan / equipment finance repayment</t>
  </si>
  <si>
    <t xml:space="preserve">Monthly payment if you financed equipment</t>
  </si>
  <si>
    <t xml:space="preserve">Other (accountant, misc)</t>
  </si>
  <si>
    <t xml:space="preserve">  📊 12-Month Projected P&amp;L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</si>
  <si>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</si>
  <si>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</si>
  <si>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</si>
  <si>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</si>
  <si>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</si>
  <si>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</si>
  <si>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</si>
  <si>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</si>
  <si>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</si>
  <si>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</si>
  <si>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</si>
  <si>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</si>
  <si>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FULL YEAR</t>
  </si>
  <si>
    <t xml:space="preserve">Trading multiplier (ramp-up)</t>
  </si>
  <si>
    <t xml:space="preserve">  REVENUE</t>
  </si>
  <si>
    <t xml:space="preserve">Total Revenue</t>
  </si>
  <si>
    <t xml:space="preserve">  COST OF GOODS SOLD (what you spend making drinks &amp; food)</t>
  </si>
  <si>
    <t xml:space="preserve">  Beverage COGS</t>
  </si>
  <si>
    <t xml:space="preserve">  Food COGS</t>
  </si>
  <si>
    <t xml:space="preserve">  Total Cost of Goods</t>
  </si>
  <si>
    <t xml:space="preserve">GROSS PROFIT</t>
  </si>
  <si>
    <t xml:space="preserve">  Gross Margin %</t>
  </si>
  <si>
    <t xml:space="preserve">  OPERATING EXPENSES (monthly running costs)</t>
  </si>
  <si>
    <t xml:space="preserve">  Labour (paid staff)</t>
  </si>
  <si>
    <t xml:space="preserve">  Labour as % of revenue</t>
  </si>
  <si>
    <t xml:space="preserve">  Rent</t>
  </si>
  <si>
    <t xml:space="preserve">  Utilities</t>
  </si>
  <si>
    <t xml:space="preserve">  Insurance</t>
  </si>
  <si>
    <t xml:space="preserve">  POS &amp; Software</t>
  </si>
  <si>
    <t xml:space="preserve">  Marketing</t>
  </si>
  <si>
    <t xml:space="preserve">  Supplies</t>
  </si>
  <si>
    <t xml:space="preserve">  Loan Repayment</t>
  </si>
  <si>
    <t xml:space="preserve">  Other</t>
  </si>
  <si>
    <t xml:space="preserve">  Total Operating Expenses</t>
  </si>
  <si>
    <t xml:space="preserve">NET INCOME (LOSS)</t>
  </si>
  <si>
    <t xml:space="preserve">  Net Margin %</t>
  </si>
  <si>
    <t xml:space="preserve">💡 Negative months are normal when you're ramping up. Focus on the trend — are you getting closer to break-even each month?</t>
  </si>
  <si>
    <t xml:space="preserve">  🚀 Break-Even Analysis</t>
  </si>
  <si>
    <t xml:space="preserve">Break-even is the point where your revenue exactly covers all your costs. It's the minimum you need to not lose money.</t>
  </si>
  <si>
    <t xml:space="preserve">  Your Key Numbers (from your Assumptions)</t>
  </si>
  <si>
    <t xml:space="preserve">Avg daily transactions (full trading)</t>
  </si>
  <si>
    <t xml:space="preserve">Blended avg ticket</t>
  </si>
  <si>
    <t xml:space="preserve">Blended COGS %</t>
  </si>
  <si>
    <t xml:space="preserve">Contribution margin per $1 of revenue</t>
  </si>
  <si>
    <t xml:space="preserve">  Monthly Costs (pulling from your Assumptions)</t>
  </si>
  <si>
    <t xml:space="preserve">Monthly Labour</t>
  </si>
  <si>
    <t xml:space="preserve">Monthly Rent</t>
  </si>
  <si>
    <t xml:space="preserve">Monthly Utilities</t>
  </si>
  <si>
    <t xml:space="preserve">Monthly Insurance</t>
  </si>
  <si>
    <t xml:space="preserve">Monthly POS &amp; Software</t>
  </si>
  <si>
    <t xml:space="preserve">Monthly Marketing</t>
  </si>
  <si>
    <t xml:space="preserve">Monthly Supplies</t>
  </si>
  <si>
    <t xml:space="preserve">Monthly Loan Repayment</t>
  </si>
  <si>
    <t xml:space="preserve">Monthly Other</t>
  </si>
  <si>
    <t xml:space="preserve">Total Monthly Fixed Costs</t>
  </si>
  <si>
    <t xml:space="preserve">  Your Break-Even Numbers</t>
  </si>
  <si>
    <t xml:space="preserve">Monthly break-even revenue needed</t>
  </si>
  <si>
    <t xml:space="preserve">Weekly break-even revenue needed</t>
  </si>
  <si>
    <t xml:space="preserve">Daily break-even revenue needed</t>
  </si>
  <si>
    <t xml:space="preserve">Transactions per day needed to break even</t>
  </si>
  <si>
    <t xml:space="preserve">How does this compare to your projected daily transactions (from Assumptions → B)?</t>
  </si>
  <si>
    <t xml:space="preserve">Your projected daily transactions at full trading:</t>
  </si>
  <si>
    <t xml:space="preserve">📌 Important: The 'rules of thumb' for a healthy coffee shop are:
  • Labour ≤ 35% of revenue
  • Rent ≤ 10% of revenue
  • COGS ≤ 30% of revenue
  → If you hit all three, you have a shot at 15–20% net margin.</t>
  </si>
  <si>
    <t xml:space="preserve">  🏗️ Startup Costs — One-Time Costs to Open</t>
  </si>
  <si>
    <t xml:space="preserve">These are costs you pay once to get open. They are separate from your monthly running costs. Research real quotes where you can.</t>
  </si>
  <si>
    <t xml:space="preserve">  Equipment</t>
  </si>
  <si>
    <t xml:space="preserve">  Espresso machine (commercial)</t>
  </si>
  <si>
    <t xml:space="preserve">This is your most important piece of equipment. Quality matters.</t>
  </si>
  <si>
    <t xml:space="preserve">  Grinders (usually 2: espresso + batch)</t>
  </si>
  <si>
    <t xml:space="preserve">You need at least two. Don't skimp here.</t>
  </si>
  <si>
    <t xml:space="preserve">  Water filtration system</t>
  </si>
  <si>
    <t xml:space="preserve">Essential for espresso quality and equipment longevity</t>
  </si>
  <si>
    <t xml:space="preserve">  Batch brewer / filter coffee equipment</t>
  </si>
  <si>
    <t xml:space="preserve">For drip coffee, cold brew setup, etc.</t>
  </si>
  <si>
    <t xml:space="preserve">  Bar refrigeration (under-counter)</t>
  </si>
  <si>
    <t xml:space="preserve">For milk, food, cold drinks storage under the bar</t>
  </si>
  <si>
    <t xml:space="preserve">  Other equipment (blender, steamer, etc.)</t>
  </si>
  <si>
    <t xml:space="preserve">  Equipment Subtotal</t>
  </si>
  <si>
    <t xml:space="preserve">  Bar &amp; Space Build-Out</t>
  </si>
  <si>
    <t xml:space="preserve">  Bar fabrication &amp; installation</t>
  </si>
  <si>
    <t xml:space="preserve">Custom counter, cabinetry, plumbing to bar. Prices vary hugely.</t>
  </si>
  <si>
    <t xml:space="preserve">  Electrical upgrades</t>
  </si>
  <si>
    <t xml:space="preserve">Commercial coffee equipment draws serious power</t>
  </si>
  <si>
    <t xml:space="preserve">  Plumbing</t>
  </si>
  <si>
    <t xml:space="preserve">Drainage, water supply to bar</t>
  </si>
  <si>
    <t xml:space="preserve">  Flooring</t>
  </si>
  <si>
    <t xml:space="preserve">  Painting &amp; décor</t>
  </si>
  <si>
    <t xml:space="preserve">  Signage (exterior &amp; interior)</t>
  </si>
  <si>
    <t xml:space="preserve">First impression — worth investing in</t>
  </si>
  <si>
    <t xml:space="preserve">  Bar &amp; Space Build-Out Subtotal</t>
  </si>
  <si>
    <t xml:space="preserve">  Furniture &amp; Fixtures</t>
  </si>
  <si>
    <t xml:space="preserve">  Tables and chairs / seating</t>
  </si>
  <si>
    <t xml:space="preserve">  Lighting fixtures</t>
  </si>
  <si>
    <t xml:space="preserve">Lighting sets mood and is often underbudgeted</t>
  </si>
  <si>
    <t xml:space="preserve">  Display cases / shelving</t>
  </si>
  <si>
    <t xml:space="preserve">  Furniture &amp; Fixtures Subtotal</t>
  </si>
  <si>
    <t xml:space="preserve">  Tech &amp; Systems</t>
  </si>
  <si>
    <t xml:space="preserve">  POS system hardware (tablet, reader, printer)</t>
  </si>
  <si>
    <t xml:space="preserve">e.g. Square, Lightspeed, Toast</t>
  </si>
  <si>
    <t xml:space="preserve">  Computer / admin setup</t>
  </si>
  <si>
    <t xml:space="preserve">  Security system / cameras</t>
  </si>
  <si>
    <t xml:space="preserve">  Tech &amp; Systems Subtotal</t>
  </si>
  <si>
    <t xml:space="preserve">  Opening Inventory &amp; Smallwares</t>
  </si>
  <si>
    <t xml:space="preserve">  Opening coffee inventory (beans, syrups, milk)</t>
  </si>
  <si>
    <t xml:space="preserve">Enough for 2–4 weeks trading</t>
  </si>
  <si>
    <t xml:space="preserve">  Smallwares (tampers, jugs, cloths, cleaning gear)</t>
  </si>
  <si>
    <t xml:space="preserve">  Packaging (cups, lids, bags, sleeves)</t>
  </si>
  <si>
    <t xml:space="preserve">  Food / pastry opening stock</t>
  </si>
  <si>
    <t xml:space="preserve">  Opening Inventory &amp; Smallwares Subtotal</t>
  </si>
  <si>
    <t xml:space="preserve">  Pre-Opening Costs</t>
  </si>
  <si>
    <t xml:space="preserve">  Permits &amp; licences (food, business, signage)</t>
  </si>
  <si>
    <t xml:space="preserve">Varies widely by location — research your local council</t>
  </si>
  <si>
    <t xml:space="preserve">  Lease deposit (often 2–3 months rent)</t>
  </si>
  <si>
    <t xml:space="preserve">Usually the biggest single upfront cost</t>
  </si>
  <si>
    <t xml:space="preserve">  Rent during fit-out (before opening)</t>
  </si>
  <si>
    <t xml:space="preserve">You're often paying rent while you're building</t>
  </si>
  <si>
    <t xml:space="preserve">  Legal fees (lease review)</t>
  </si>
  <si>
    <t xml:space="preserve">Always get the lease reviewed by a lawyer</t>
  </si>
  <si>
    <t xml:space="preserve">  Insurance (first year upfront)</t>
  </si>
  <si>
    <t xml:space="preserve">  Staff training before opening</t>
  </si>
  <si>
    <t xml:space="preserve">Pre-opening trial runs, training shifts</t>
  </si>
  <si>
    <t xml:space="preserve">  Pre-opening marketing</t>
  </si>
  <si>
    <t xml:space="preserve">Social media launch, signage, community events</t>
  </si>
  <si>
    <t xml:space="preserve">  Pre-Opening Costs Subtotal</t>
  </si>
  <si>
    <t xml:space="preserve">  Working Capital (Cash Reserve)</t>
  </si>
  <si>
    <t xml:space="preserve">  Cash buffer for first 3 months of losses</t>
  </si>
  <si>
    <t xml:space="preserve">Most new shops lose money early. You need this reserve.</t>
  </si>
  <si>
    <t xml:space="preserve">  Emergency / contingency fund</t>
  </si>
  <si>
    <t xml:space="preserve">Construction always runs over. Budget for it.</t>
  </si>
  <si>
    <t xml:space="preserve">  Working Capital (Cash Reserve) Subtotal</t>
  </si>
  <si>
    <t xml:space="preserve">TOTAL ESTIMATED STARTUP COST</t>
  </si>
  <si>
    <t xml:space="preserve">⚠️  These are estimates only. Always get real quotes before committing to a space or build. Startup costs routinely run 20–30% over initial estimates — build in a buffer.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</si>
</sst>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&quot; sq ft&quot;"/>
    <numFmt numFmtId="166" formatCode="0"/>
    <numFmt numFmtId="167" formatCode="0.0&quot; hrs&quot;"/>
    <numFmt numFmtId="168" formatCode="#,##0"/>
    <numFmt numFmtId="169" formatCode="\$#,##0.00"/>
    <numFmt numFmtId="170" formatCode="0%"/>
    <numFmt numFmtId="171" formatCode="0&quot; months&quot;"/>
    <numFmt numFmtId="172" formatCode="0.0%"/>
    <numFmt numFmtId="173" formatCode="\$#,##0"/>
    <numFmt numFmtId="174" formatCode="\$#,##0;&quot;($&quot;#,##0\);\-"/>
    <numFmt numFmtId="175" formatCode="0.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b val="true"/>
      <sz val="13"/>
      <color rgb="FF155E63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155E63"/>
      <name val="Calibri"/>
      <family val="0"/>
      <charset val="1"/>
    </font>
    <font>
      <b val="true"/>
      <sz val="10"/>
      <color rgb="FF1A56A0"/>
      <name val="Calibri"/>
      <family val="0"/>
      <charset val="1"/>
    </font>
    <font>
      <b val="true"/>
      <sz val="10"/>
      <color rgb="FFFFF3CD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b val="true"/>
      <sz val="10"/>
      <color rgb="FF1E7E34"/>
      <name val="Calibri"/>
      <family val="0"/>
      <charset val="1"/>
    </font>
    <font>
      <i val="true"/>
      <sz val="9"/>
      <color rgb="FFAFAFAF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A56A0"/>
      <name val="Calibri"/>
      <family val="0"/>
      <charset val="1"/>
    </font>
    <font>
      <b val="true"/>
      <sz val="10"/>
      <color rgb="FF155E63"/>
      <name val="Calibri"/>
      <family val="0"/>
      <charset val="1"/>
    </font>
    <font>
      <sz val="10"/>
      <color rgb="FF1E7E34"/>
      <name val="Calibri"/>
      <family val="0"/>
      <charset val="1"/>
    </font>
    <font>
      <b val="true"/>
      <sz val="12"/>
      <color rgb="FF1A1A1A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2"/>
      <color rgb="FF1E7E34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9"/>
      <color rgb="FFC0392B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55E63"/>
        <bgColor rgb="FF1A56A0"/>
      </patternFill>
    </fill>
    <fill>
      <patternFill patternType="solid">
        <fgColor rgb="FF76B39D"/>
        <bgColor rgb="FFAFAFAF"/>
      </patternFill>
    </fill>
    <fill>
      <patternFill patternType="solid">
        <fgColor rgb="FFEFEFEF"/>
        <bgColor rgb="FFFFF3CD"/>
      </patternFill>
    </fill>
    <fill>
      <patternFill patternType="solid">
        <fgColor rgb="FFFFF3CD"/>
        <bgColor rgb="FFEFEFEF"/>
      </patternFill>
    </fill>
    <fill>
      <patternFill patternType="solid">
        <fgColor rgb="FFFFFFFF"/>
        <bgColor rgb="FFEFEFEF"/>
      </patternFill>
    </fill>
    <fill>
      <patternFill patternType="solid">
        <fgColor rgb="FF0D3D4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2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808000"/>
      <rgbColor rgb="FF800080"/>
      <rgbColor rgb="FF155E63"/>
      <rgbColor rgb="FFCCCCCC"/>
      <rgbColor rgb="FF76B39D"/>
      <rgbColor rgb="FF9999FF"/>
      <rgbColor rgb="FF993366"/>
      <rgbColor rgb="FFFFF3CD"/>
      <rgbColor rgb="FFEFEFEF"/>
      <rgbColor rgb="FF660066"/>
      <rgbColor rgb="FFFF8080"/>
      <rgbColor rgb="FF1A56A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FAFAF"/>
      <rgbColor rgb="FF0D3D40"/>
      <rgbColor rgb="FF339966"/>
      <rgbColor rgb="FF003300"/>
      <rgbColor rgb="FF333300"/>
      <rgbColor rgb="FFC0392B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0"/>
    <col collapsed="false" customWidth="true" hidden="false" outlineLevel="0" max="3" min="3" style="0" width="30"/>
  </cols>
  <sheetData>
    <row r="1" customFormat="false" ht="7.5" hidden="false" customHeight="true" outlineLevel="0" collapsed="false"/>
    <row r="2" customFormat="false" ht="54.75" hidden="false" customHeight="true" outlineLevel="0" collapsed="false">
      <c r="B2" s="1" t="s">
        <v>0</v>
      </c>
      <c r="C2" s="1"/>
    </row>
    <row r="3" customFormat="false" ht="7.5" hidden="false" customHeight="true" outlineLevel="0" collapsed="false"/>
    <row r="4" customFormat="false" ht="13.5" hidden="false" customHeight="true" outlineLevel="0" collapsed="false">
      <c r="B4" s="2" t="s">
        <v>1</v>
      </c>
    </row>
    <row r="5" customFormat="false" ht="23.85" hidden="false" customHeight="false" outlineLevel="0" collapsed="false">
      <c r="B5" s="3" t="s">
        <v>2</v>
      </c>
    </row>
    <row r="6" customFormat="false" ht="7.5" hidden="false" customHeight="true" outlineLevel="0" collapsed="false"/>
    <row r="7" customFormat="false" ht="9.75" hidden="false" customHeight="true" outlineLevel="0" collapsed="false"/>
    <row r="8" customFormat="false" ht="21.75" hidden="false" customHeight="true" outlineLevel="0" collapsed="false">
      <c r="B8" s="4" t="s">
        <v>3</v>
      </c>
      <c r="C8" s="4"/>
    </row>
    <row r="9" customFormat="false" ht="31.5" hidden="false" customHeight="true" outlineLevel="0" collapsed="false">
      <c r="B9" s="5" t="s">
        <v>4</v>
      </c>
      <c r="C9" s="5"/>
    </row>
    <row r="10" customFormat="false" ht="9.75" hidden="false" customHeight="true" outlineLevel="0" collapsed="false"/>
    <row r="11" customFormat="false" ht="21.75" hidden="false" customHeight="true" outlineLevel="0" collapsed="false">
      <c r="B11" s="4" t="s">
        <v>5</v>
      </c>
      <c r="C11" s="4"/>
    </row>
    <row r="12" customFormat="false" ht="31.5" hidden="false" customHeight="true" outlineLevel="0" collapsed="false">
      <c r="B12" s="5" t="s">
        <v>6</v>
      </c>
      <c r="C12" s="5"/>
    </row>
    <row r="13" customFormat="false" ht="9.75" hidden="false" customHeight="true" outlineLevel="0" collapsed="false"/>
    <row r="14" customFormat="false" ht="21.75" hidden="false" customHeight="true" outlineLevel="0" collapsed="false">
      <c r="B14" s="4" t="s">
        <v>7</v>
      </c>
      <c r="C14" s="4"/>
    </row>
    <row r="15" customFormat="false" ht="31.5" hidden="false" customHeight="true" outlineLevel="0" collapsed="false">
      <c r="B15" s="5" t="s">
        <v>8</v>
      </c>
      <c r="C15" s="5"/>
    </row>
    <row r="16" customFormat="false" ht="9.75" hidden="false" customHeight="true" outlineLevel="0" collapsed="false"/>
    <row r="17" customFormat="false" ht="21.75" hidden="false" customHeight="true" outlineLevel="0" collapsed="false">
      <c r="B17" s="4" t="s">
        <v>9</v>
      </c>
      <c r="C17" s="4"/>
    </row>
    <row r="18" customFormat="false" ht="31.5" hidden="false" customHeight="true" outlineLevel="0" collapsed="false">
      <c r="B18" s="5" t="s">
        <v>10</v>
      </c>
      <c r="C18" s="5"/>
    </row>
    <row r="19" customFormat="false" ht="9.75" hidden="false" customHeight="true" outlineLevel="0" collapsed="false"/>
    <row r="20" customFormat="false" ht="15" hidden="false" customHeight="false" outlineLevel="0" collapsed="false">
      <c r="B20" s="6" t="s">
        <v>11</v>
      </c>
      <c r="C20" s="6"/>
    </row>
    <row r="21" customFormat="false" ht="19.5" hidden="false" customHeight="true" outlineLevel="0" collapsed="false">
      <c r="B21" s="7" t="s">
        <v>12</v>
      </c>
      <c r="C21" s="8" t="s">
        <v>13</v>
      </c>
    </row>
    <row r="22" customFormat="false" ht="19.5" hidden="false" customHeight="true" outlineLevel="0" collapsed="false">
      <c r="B22" s="9" t="s">
        <v>14</v>
      </c>
      <c r="C22" s="8" t="s">
        <v>15</v>
      </c>
    </row>
    <row r="23" customFormat="false" ht="19.5" hidden="false" customHeight="true" outlineLevel="0" collapsed="false">
      <c r="B23" s="10" t="s">
        <v>16</v>
      </c>
      <c r="C23" s="8" t="s">
        <v>17</v>
      </c>
    </row>
    <row r="24" customFormat="false" ht="19.5" hidden="false" customHeight="true" outlineLevel="0" collapsed="false">
      <c r="B24" s="11" t="s">
        <v>18</v>
      </c>
      <c r="C24" s="8" t="s">
        <v>19</v>
      </c>
    </row>
    <row r="26" customFormat="false" ht="31.5" hidden="false" customHeight="true" outlineLevel="0" collapsed="false">
      <c r="B26" s="12" t="s">
        <v>20</v>
      </c>
      <c r="C26" s="12"/>
    </row>
  </sheetData>
  <mergeCells count="11">
    <mergeCell ref="B2:C2"/>
    <mergeCell ref="B8:C8"/>
    <mergeCell ref="B9:C9"/>
    <mergeCell ref="B11:C11"/>
    <mergeCell ref="B12:C12"/>
    <mergeCell ref="B14:C14"/>
    <mergeCell ref="B15:C15"/>
    <mergeCell ref="B17:C17"/>
    <mergeCell ref="B18:C18"/>
    <mergeCell ref="B20:C20"/>
    <mergeCell ref="B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5" min="5" style="0" width="2"/>
  </cols>
  <sheetData>
    <row r="1" customFormat="false" ht="7.5" hidden="false" customHeight="true" outlineLevel="0" collapsed="false"/>
    <row r="2" customFormat="false" ht="31.5" hidden="false" customHeight="true" outlineLevel="0" collapsed="false">
      <c r="A2" s="13" t="s">
        <v>21</v>
      </c>
      <c r="B2" s="13"/>
      <c r="C2" s="13"/>
      <c r="D2" s="13"/>
    </row>
    <row r="3" customFormat="false" ht="7.5" hidden="false" customHeight="true" outlineLevel="0" collapsed="false"/>
    <row r="4" customFormat="false" ht="24" hidden="false" customHeight="true" outlineLevel="0" collapsed="false">
      <c r="A4" s="14" t="s">
        <v>22</v>
      </c>
      <c r="B4" s="14"/>
      <c r="C4" s="14"/>
      <c r="D4" s="14"/>
    </row>
    <row r="5" customFormat="false" ht="21.75" hidden="false" customHeight="true" outlineLevel="0" collapsed="false">
      <c r="B5" s="15" t="s">
        <v>23</v>
      </c>
      <c r="C5" s="16"/>
      <c r="D5" s="17" t="s">
        <v>24</v>
      </c>
    </row>
    <row r="6" customFormat="false" ht="21.75" hidden="false" customHeight="true" outlineLevel="0" collapsed="false">
      <c r="B6" s="18" t="s">
        <v>25</v>
      </c>
      <c r="C6" s="16"/>
      <c r="D6" s="17" t="s">
        <v>26</v>
      </c>
    </row>
    <row r="7" customFormat="false" ht="21.75" hidden="false" customHeight="true" outlineLevel="0" collapsed="false">
      <c r="B7" s="15" t="s">
        <v>27</v>
      </c>
      <c r="C7" s="19" t="n">
        <v>800</v>
      </c>
      <c r="D7" s="17" t="s">
        <v>28</v>
      </c>
    </row>
    <row r="8" customFormat="false" ht="21.75" hidden="false" customHeight="true" outlineLevel="0" collapsed="false">
      <c r="B8" s="18" t="s">
        <v>29</v>
      </c>
      <c r="C8" s="20" t="n">
        <v>6</v>
      </c>
      <c r="D8" s="17" t="s">
        <v>30</v>
      </c>
    </row>
    <row r="9" customFormat="false" ht="21.75" hidden="false" customHeight="true" outlineLevel="0" collapsed="false">
      <c r="B9" s="15" t="s">
        <v>31</v>
      </c>
      <c r="C9" s="16" t="s">
        <v>32</v>
      </c>
      <c r="D9" s="17" t="s">
        <v>33</v>
      </c>
    </row>
    <row r="10" customFormat="false" ht="21.75" hidden="false" customHeight="true" outlineLevel="0" collapsed="false">
      <c r="B10" s="18" t="s">
        <v>34</v>
      </c>
      <c r="C10" s="16" t="s">
        <v>35</v>
      </c>
      <c r="D10" s="17" t="s">
        <v>36</v>
      </c>
    </row>
    <row r="11" customFormat="false" ht="21.75" hidden="false" customHeight="true" outlineLevel="0" collapsed="false">
      <c r="B11" s="15" t="s">
        <v>37</v>
      </c>
      <c r="C11" s="21" t="n">
        <v>10</v>
      </c>
      <c r="D11" s="17" t="s">
        <v>38</v>
      </c>
    </row>
    <row r="13" customFormat="false" ht="24" hidden="false" customHeight="true" outlineLevel="0" collapsed="false">
      <c r="A13" s="14" t="s">
        <v>39</v>
      </c>
      <c r="B13" s="14"/>
      <c r="C13" s="14"/>
      <c r="D13" s="14"/>
    </row>
    <row r="14" customFormat="false" ht="18" hidden="false" customHeight="true" outlineLevel="0" collapsed="false">
      <c r="B14" s="22" t="s">
        <v>40</v>
      </c>
      <c r="C14" s="22"/>
      <c r="D14" s="22"/>
    </row>
    <row r="15" customFormat="false" ht="19.5" hidden="false" customHeight="true" outlineLevel="0" collapsed="false">
      <c r="B15" s="23" t="s">
        <v>41</v>
      </c>
    </row>
    <row r="16" customFormat="false" ht="21.75" hidden="false" customHeight="true" outlineLevel="0" collapsed="false">
      <c r="B16" s="15" t="s">
        <v>42</v>
      </c>
      <c r="C16" s="21" t="n">
        <v>3</v>
      </c>
      <c r="D16" s="17" t="s">
        <v>43</v>
      </c>
    </row>
    <row r="17" customFormat="false" ht="21.75" hidden="false" customHeight="true" outlineLevel="0" collapsed="false">
      <c r="B17" s="18" t="s">
        <v>44</v>
      </c>
      <c r="C17" s="24" t="n">
        <v>20</v>
      </c>
      <c r="D17" s="17" t="s">
        <v>45</v>
      </c>
    </row>
    <row r="18" customFormat="false" ht="21.75" hidden="false" customHeight="true" outlineLevel="0" collapsed="false">
      <c r="B18" s="15" t="s">
        <v>46</v>
      </c>
      <c r="C18" s="25" t="n">
        <v>7.5</v>
      </c>
      <c r="D18" s="17" t="s">
        <v>47</v>
      </c>
    </row>
    <row r="19" customFormat="false" ht="19.5" hidden="false" customHeight="true" outlineLevel="0" collapsed="false">
      <c r="B19" s="23" t="s">
        <v>48</v>
      </c>
    </row>
    <row r="20" customFormat="false" ht="21.75" hidden="false" customHeight="true" outlineLevel="0" collapsed="false">
      <c r="B20" s="15" t="s">
        <v>49</v>
      </c>
      <c r="C20" s="26" t="n">
        <v>8</v>
      </c>
      <c r="D20" s="17" t="s">
        <v>50</v>
      </c>
    </row>
    <row r="21" customFormat="false" ht="21.75" hidden="false" customHeight="true" outlineLevel="0" collapsed="false">
      <c r="B21" s="18" t="s">
        <v>51</v>
      </c>
      <c r="C21" s="25" t="n">
        <v>6</v>
      </c>
      <c r="D21" s="17" t="s">
        <v>52</v>
      </c>
    </row>
    <row r="22" customFormat="false" ht="19.5" hidden="false" customHeight="true" outlineLevel="0" collapsed="false">
      <c r="B22" s="23" t="s">
        <v>53</v>
      </c>
    </row>
    <row r="23" customFormat="false" ht="21.75" hidden="false" customHeight="true" outlineLevel="0" collapsed="false">
      <c r="B23" s="15" t="s">
        <v>54</v>
      </c>
      <c r="C23" s="27" t="n">
        <v>0.5</v>
      </c>
      <c r="D23" s="17" t="s">
        <v>55</v>
      </c>
    </row>
    <row r="24" customFormat="false" ht="21.75" hidden="false" customHeight="true" outlineLevel="0" collapsed="false">
      <c r="B24" s="18" t="s">
        <v>56</v>
      </c>
      <c r="C24" s="28" t="n">
        <v>6</v>
      </c>
      <c r="D24" s="17" t="s">
        <v>57</v>
      </c>
    </row>
    <row r="26" customFormat="false" ht="24" hidden="false" customHeight="true" outlineLevel="0" collapsed="false">
      <c r="A26" s="14" t="s">
        <v>58</v>
      </c>
      <c r="B26" s="14"/>
      <c r="C26" s="14"/>
      <c r="D26" s="14"/>
    </row>
    <row r="27" customFormat="false" ht="21.75" hidden="false" customHeight="true" outlineLevel="0" collapsed="false">
      <c r="B27" s="15" t="s">
        <v>59</v>
      </c>
      <c r="C27" s="29" t="n">
        <v>0.28</v>
      </c>
      <c r="D27" s="17" t="s">
        <v>60</v>
      </c>
    </row>
    <row r="28" customFormat="false" ht="21.75" hidden="false" customHeight="true" outlineLevel="0" collapsed="false">
      <c r="B28" s="18" t="s">
        <v>61</v>
      </c>
      <c r="C28" s="29" t="n">
        <v>0.35</v>
      </c>
      <c r="D28" s="17" t="s">
        <v>62</v>
      </c>
    </row>
    <row r="29" customFormat="false" ht="21.75" hidden="false" customHeight="true" outlineLevel="0" collapsed="false">
      <c r="B29" s="15" t="s">
        <v>63</v>
      </c>
      <c r="C29" s="30" t="n">
        <v>0.75</v>
      </c>
      <c r="D29" s="17" t="s">
        <v>64</v>
      </c>
    </row>
    <row r="31" customFormat="false" ht="24" hidden="false" customHeight="true" outlineLevel="0" collapsed="false">
      <c r="A31" s="14" t="s">
        <v>65</v>
      </c>
      <c r="B31" s="14"/>
      <c r="C31" s="14"/>
      <c r="D31" s="14"/>
    </row>
    <row r="32" customFormat="false" ht="21.75" hidden="false" customHeight="true" outlineLevel="0" collapsed="false">
      <c r="B32" s="15" t="s">
        <v>66</v>
      </c>
      <c r="C32" s="26" t="n">
        <v>2</v>
      </c>
      <c r="D32" s="17" t="s">
        <v>67</v>
      </c>
    </row>
    <row r="33" customFormat="false" ht="21.75" hidden="false" customHeight="true" outlineLevel="0" collapsed="false">
      <c r="B33" s="18" t="s">
        <v>68</v>
      </c>
      <c r="C33" s="25" t="n">
        <v>18</v>
      </c>
      <c r="D33" s="17" t="s">
        <v>69</v>
      </c>
    </row>
    <row r="34" customFormat="false" ht="21.75" hidden="false" customHeight="true" outlineLevel="0" collapsed="false">
      <c r="B34" s="15" t="s">
        <v>70</v>
      </c>
      <c r="C34" s="24" t="n">
        <v>80</v>
      </c>
      <c r="D34" s="17" t="s">
        <v>71</v>
      </c>
    </row>
    <row r="35" customFormat="false" ht="21.75" hidden="false" customHeight="true" outlineLevel="0" collapsed="false">
      <c r="B35" s="18" t="s">
        <v>72</v>
      </c>
      <c r="C35" s="26" t="n">
        <v>40</v>
      </c>
      <c r="D35" s="17" t="s">
        <v>73</v>
      </c>
    </row>
    <row r="37" customFormat="false" ht="24" hidden="false" customHeight="true" outlineLevel="0" collapsed="false">
      <c r="A37" s="14" t="s">
        <v>74</v>
      </c>
      <c r="B37" s="14"/>
      <c r="C37" s="14"/>
      <c r="D37" s="14"/>
    </row>
    <row r="38" customFormat="false" ht="18" hidden="false" customHeight="true" outlineLevel="0" collapsed="false">
      <c r="B38" s="22" t="s">
        <v>75</v>
      </c>
      <c r="C38" s="22"/>
      <c r="D38" s="22"/>
    </row>
    <row r="39" customFormat="false" ht="21.75" hidden="false" customHeight="true" outlineLevel="0" collapsed="false">
      <c r="B39" s="15" t="s">
        <v>76</v>
      </c>
      <c r="C39" s="31" t="n">
        <v>4500</v>
      </c>
      <c r="D39" s="17" t="s">
        <v>77</v>
      </c>
    </row>
    <row r="40" customFormat="false" ht="21.75" hidden="false" customHeight="true" outlineLevel="0" collapsed="false">
      <c r="B40" s="18" t="s">
        <v>78</v>
      </c>
      <c r="C40" s="32" t="n">
        <v>600</v>
      </c>
      <c r="D40" s="17" t="s">
        <v>79</v>
      </c>
    </row>
    <row r="41" customFormat="false" ht="21.75" hidden="false" customHeight="true" outlineLevel="0" collapsed="false">
      <c r="B41" s="15" t="s">
        <v>80</v>
      </c>
      <c r="C41" s="32" t="n">
        <v>300</v>
      </c>
      <c r="D41" s="17" t="s">
        <v>81</v>
      </c>
    </row>
    <row r="42" customFormat="false" ht="21.75" hidden="false" customHeight="true" outlineLevel="0" collapsed="false">
      <c r="B42" s="18" t="s">
        <v>82</v>
      </c>
      <c r="C42" s="32" t="n">
        <v>150</v>
      </c>
      <c r="D42" s="17" t="s">
        <v>83</v>
      </c>
    </row>
    <row r="43" customFormat="false" ht="21.75" hidden="false" customHeight="true" outlineLevel="0" collapsed="false">
      <c r="B43" s="15" t="s">
        <v>84</v>
      </c>
      <c r="C43" s="32" t="n">
        <v>200</v>
      </c>
      <c r="D43" s="17" t="s">
        <v>85</v>
      </c>
    </row>
    <row r="44" customFormat="false" ht="21.75" hidden="false" customHeight="true" outlineLevel="0" collapsed="false">
      <c r="B44" s="18" t="s">
        <v>86</v>
      </c>
      <c r="C44" s="32" t="n">
        <v>150</v>
      </c>
      <c r="D44" s="17" t="s">
        <v>87</v>
      </c>
    </row>
    <row r="45" customFormat="false" ht="21.75" hidden="false" customHeight="true" outlineLevel="0" collapsed="false">
      <c r="B45" s="15" t="s">
        <v>88</v>
      </c>
      <c r="C45" s="32" t="n">
        <v>0</v>
      </c>
      <c r="D45" s="17" t="s">
        <v>89</v>
      </c>
    </row>
    <row r="46" customFormat="false" ht="21.75" hidden="false" customHeight="true" outlineLevel="0" collapsed="false">
      <c r="B46" s="18" t="s">
        <v>90</v>
      </c>
      <c r="C46" s="32" t="n">
        <v>200</v>
      </c>
      <c r="D46" s="17"/>
    </row>
  </sheetData>
  <mergeCells count="8">
    <mergeCell ref="A2:D2"/>
    <mergeCell ref="A4:D4"/>
    <mergeCell ref="A13:D13"/>
    <mergeCell ref="B14:D14"/>
    <mergeCell ref="A26:D26"/>
    <mergeCell ref="A31:D31"/>
    <mergeCell ref="A37:D37"/>
    <mergeCell ref="B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14" min="3" style="0" width="12"/>
    <col collapsed="false" customWidth="true" hidden="false" outlineLevel="0" max="15" min="15" style="0" width="14"/>
  </cols>
  <sheetData>
    <row r="1" customFormat="false" ht="7.5" hidden="false" customHeight="true" outlineLevel="0" collapsed="false"/>
    <row r="2" customFormat="false" ht="31.5" hidden="false" customHeight="true" outlineLevel="0" collapsed="false">
      <c r="A2" s="13" t="s">
        <v>91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customFormat="false" ht="7.5" hidden="false" customHeight="true" outlineLevel="0" collapsed="false"/>
    <row r="4" customFormat="false" ht="24" hidden="false" customHeight="true" outlineLevel="0" collapsed="false">
      <c r="B4" s="33"/>
      <c r="C4" s="34" t="s">
        <v>92</v>
      </c>
      <c r="D4" s="34" t="s">
        <v>93</v>
      </c>
      <c r="E4" s="34" t="s">
        <v>94</v>
      </c>
      <c r="F4" s="34" t="s">
        <v>95</v>
      </c>
      <c r="G4" s="34" t="s">
        <v>96</v>
      </c>
      <c r="H4" s="34" t="s">
        <v>97</v>
      </c>
      <c r="I4" s="34" t="s">
        <v>98</v>
      </c>
      <c r="J4" s="34" t="s">
        <v>99</v>
      </c>
      <c r="K4" s="34" t="s">
        <v>100</v>
      </c>
      <c r="L4" s="34" t="s">
        <v>101</v>
      </c>
      <c r="M4" s="34" t="s">
        <v>102</v>
      </c>
      <c r="N4" s="34" t="s">
        <v>103</v>
      </c>
      <c r="O4" s="35" t="s">
        <v>104</v>
      </c>
    </row>
    <row r="5" customFormat="false" ht="18" hidden="false" customHeight="true" outlineLevel="0" collapsed="false">
      <c r="B5" s="36" t="s">
        <v>105</v>
      </c>
      <c r="C5" s="37" t="n">
        <f aca="false">MIN(1, '📋 Assumptions'!C23 + (1-'📋 Assumptions'!C23)/MAX(1,'📋 Assumptions'!C24-1)*(1-1))</f>
        <v>0.5</v>
      </c>
      <c r="D5" s="37" t="n">
        <f aca="false">MIN(1, '📋 Assumptions'!C23 + (1-'📋 Assumptions'!C23)/MAX(1,'📋 Assumptions'!C24-1)*(2-1))</f>
        <v>0.6</v>
      </c>
      <c r="E5" s="37" t="n">
        <f aca="false">MIN(1, '📋 Assumptions'!C23 + (1-'📋 Assumptions'!C23)/MAX(1,'📋 Assumptions'!C24-1)*(3-1))</f>
        <v>0.7</v>
      </c>
      <c r="F5" s="37" t="n">
        <f aca="false">MIN(1, '📋 Assumptions'!C23 + (1-'📋 Assumptions'!C23)/MAX(1,'📋 Assumptions'!C24-1)*(4-1))</f>
        <v>0.8</v>
      </c>
      <c r="G5" s="37" t="n">
        <f aca="false">MIN(1, '📋 Assumptions'!C23 + (1-'📋 Assumptions'!C23)/MAX(1,'📋 Assumptions'!C24-1)*(5-1))</f>
        <v>0.9</v>
      </c>
      <c r="H5" s="37" t="n">
        <f aca="false">MIN(1, '📋 Assumptions'!C23 + (1-'📋 Assumptions'!C23)/MAX(1,'📋 Assumptions'!C24-1)*(6-1))</f>
        <v>1</v>
      </c>
      <c r="I5" s="37" t="n">
        <f aca="false">MIN(1, '📋 Assumptions'!C23 + (1-'📋 Assumptions'!C23)/MAX(1,'📋 Assumptions'!C24-1)*(7-1))</f>
        <v>1</v>
      </c>
      <c r="J5" s="37" t="n">
        <f aca="false">MIN(1, '📋 Assumptions'!C23 + (1-'📋 Assumptions'!C23)/MAX(1,'📋 Assumptions'!C24-1)*(8-1))</f>
        <v>1</v>
      </c>
      <c r="K5" s="37" t="n">
        <f aca="false">MIN(1, '📋 Assumptions'!C23 + (1-'📋 Assumptions'!C23)/MAX(1,'📋 Assumptions'!C24-1)*(9-1))</f>
        <v>1</v>
      </c>
      <c r="L5" s="37" t="n">
        <f aca="false">MIN(1, '📋 Assumptions'!C23 + (1-'📋 Assumptions'!C23)/MAX(1,'📋 Assumptions'!C24-1)*(10-1))</f>
        <v>1</v>
      </c>
      <c r="M5" s="37" t="n">
        <f aca="false">MIN(1, '📋 Assumptions'!C23 + (1-'📋 Assumptions'!C23)/MAX(1,'📋 Assumptions'!C24-1)*(11-1))</f>
        <v>1</v>
      </c>
      <c r="N5" s="37" t="n">
        <f aca="false">MIN(1, '📋 Assumptions'!C23 + (1-'📋 Assumptions'!C23)/MAX(1,'📋 Assumptions'!C24-1)*(12-1))</f>
        <v>1</v>
      </c>
    </row>
    <row r="6" customFormat="false" ht="21.75" hidden="false" customHeight="true" outlineLevel="0" collapsed="false">
      <c r="A6" s="38" t="s">
        <v>106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</row>
    <row r="7" customFormat="false" ht="21.75" hidden="false" customHeight="true" outlineLevel="0" collapsed="false">
      <c r="B7" s="39" t="s">
        <v>107</v>
      </c>
      <c r="C7" s="40" t="n">
        <f aca="false">(('📋 Assumptions'!C16*'📋 Assumptions'!C17*'📋 Assumptions'!C18)+(('📋 Assumptions'!C11-'📋 Assumptions'!C16)*'📋 Assumptions'!C20*'📋 Assumptions'!C21))*'📋 Assumptions'!C8*(52/12)*C5</f>
        <v>10218</v>
      </c>
      <c r="D7" s="40" t="n">
        <f aca="false">(('📋 Assumptions'!C16*'📋 Assumptions'!C17*'📋 Assumptions'!C18)+(('📋 Assumptions'!C11-'📋 Assumptions'!C16)*'📋 Assumptions'!C20*'📋 Assumptions'!C21))*'📋 Assumptions'!C8*(52/12)*D5</f>
        <v>12261.6</v>
      </c>
      <c r="E7" s="40" t="n">
        <f aca="false">(('📋 Assumptions'!C16*'📋 Assumptions'!C17*'📋 Assumptions'!C18)+(('📋 Assumptions'!C11-'📋 Assumptions'!C16)*'📋 Assumptions'!C20*'📋 Assumptions'!C21))*'📋 Assumptions'!C8*(52/12)*E5</f>
        <v>14305.2</v>
      </c>
      <c r="F7" s="40" t="n">
        <f aca="false">(('📋 Assumptions'!C16*'📋 Assumptions'!C17*'📋 Assumptions'!C18)+(('📋 Assumptions'!C11-'📋 Assumptions'!C16)*'📋 Assumptions'!C20*'📋 Assumptions'!C21))*'📋 Assumptions'!C8*(52/12)*F5</f>
        <v>16348.8</v>
      </c>
      <c r="G7" s="40" t="n">
        <f aca="false">(('📋 Assumptions'!C16*'📋 Assumptions'!C17*'📋 Assumptions'!C18)+(('📋 Assumptions'!C11-'📋 Assumptions'!C16)*'📋 Assumptions'!C20*'📋 Assumptions'!C21))*'📋 Assumptions'!C8*(52/12)*G5</f>
        <v>18392.4</v>
      </c>
      <c r="H7" s="40" t="n">
        <f aca="false">(('📋 Assumptions'!C16*'📋 Assumptions'!C17*'📋 Assumptions'!C18)+(('📋 Assumptions'!C11-'📋 Assumptions'!C16)*'📋 Assumptions'!C20*'📋 Assumptions'!C21))*'📋 Assumptions'!C8*(52/12)*H5</f>
        <v>20436</v>
      </c>
      <c r="I7" s="40" t="n">
        <f aca="false">(('📋 Assumptions'!C16*'📋 Assumptions'!C17*'📋 Assumptions'!C18)+(('📋 Assumptions'!C11-'📋 Assumptions'!C16)*'📋 Assumptions'!C20*'📋 Assumptions'!C21))*'📋 Assumptions'!C8*(52/12)*I5</f>
        <v>20436</v>
      </c>
      <c r="J7" s="40" t="n">
        <f aca="false">(('📋 Assumptions'!C16*'📋 Assumptions'!C17*'📋 Assumptions'!C18)+(('📋 Assumptions'!C11-'📋 Assumptions'!C16)*'📋 Assumptions'!C20*'📋 Assumptions'!C21))*'📋 Assumptions'!C8*(52/12)*J5</f>
        <v>20436</v>
      </c>
      <c r="K7" s="40" t="n">
        <f aca="false">(('📋 Assumptions'!C16*'📋 Assumptions'!C17*'📋 Assumptions'!C18)+(('📋 Assumptions'!C11-'📋 Assumptions'!C16)*'📋 Assumptions'!C20*'📋 Assumptions'!C21))*'📋 Assumptions'!C8*(52/12)*K5</f>
        <v>20436</v>
      </c>
      <c r="L7" s="40" t="n">
        <f aca="false">(('📋 Assumptions'!C16*'📋 Assumptions'!C17*'📋 Assumptions'!C18)+(('📋 Assumptions'!C11-'📋 Assumptions'!C16)*'📋 Assumptions'!C20*'📋 Assumptions'!C21))*'📋 Assumptions'!C8*(52/12)*L5</f>
        <v>20436</v>
      </c>
      <c r="M7" s="40" t="n">
        <f aca="false">(('📋 Assumptions'!C16*'📋 Assumptions'!C17*'📋 Assumptions'!C18)+(('📋 Assumptions'!C11-'📋 Assumptions'!C16)*'📋 Assumptions'!C20*'📋 Assumptions'!C21))*'📋 Assumptions'!C8*(52/12)*M5</f>
        <v>20436</v>
      </c>
      <c r="N7" s="40" t="n">
        <f aca="false">(('📋 Assumptions'!C16*'📋 Assumptions'!C17*'📋 Assumptions'!C18)+(('📋 Assumptions'!C11-'📋 Assumptions'!C16)*'📋 Assumptions'!C20*'📋 Assumptions'!C21))*'📋 Assumptions'!C8*(52/12)*N5</f>
        <v>20436</v>
      </c>
      <c r="O7" s="40" t="n">
        <f aca="false">SUM(C7:N7)</f>
        <v>214578</v>
      </c>
    </row>
    <row r="8" customFormat="false" ht="21.75" hidden="false" customHeight="true" outlineLevel="0" collapsed="false">
      <c r="A8" s="14" t="s">
        <v>108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customFormat="false" ht="19.5" hidden="false" customHeight="true" outlineLevel="0" collapsed="false">
      <c r="B9" s="41" t="s">
        <v>109</v>
      </c>
      <c r="C9" s="42" t="n">
        <f aca="false">(C7*'📋 Assumptions'!C29*'📋 Assumptions'!C27)</f>
        <v>2145.78</v>
      </c>
      <c r="D9" s="42" t="n">
        <f aca="false">(D7*'📋 Assumptions'!C29*'📋 Assumptions'!C27)</f>
        <v>2574.936</v>
      </c>
      <c r="E9" s="42" t="n">
        <f aca="false">(E7*'📋 Assumptions'!C29*'📋 Assumptions'!C27)</f>
        <v>3004.092</v>
      </c>
      <c r="F9" s="42" t="n">
        <f aca="false">(F7*'📋 Assumptions'!C29*'📋 Assumptions'!C27)</f>
        <v>3433.248</v>
      </c>
      <c r="G9" s="42" t="n">
        <f aca="false">(G7*'📋 Assumptions'!C29*'📋 Assumptions'!C27)</f>
        <v>3862.404</v>
      </c>
      <c r="H9" s="42" t="n">
        <f aca="false">(H7*'📋 Assumptions'!C29*'📋 Assumptions'!C27)</f>
        <v>4291.56</v>
      </c>
      <c r="I9" s="42" t="n">
        <f aca="false">(I7*'📋 Assumptions'!C29*'📋 Assumptions'!C27)</f>
        <v>4291.56</v>
      </c>
      <c r="J9" s="42" t="n">
        <f aca="false">(J7*'📋 Assumptions'!C29*'📋 Assumptions'!C27)</f>
        <v>4291.56</v>
      </c>
      <c r="K9" s="42" t="n">
        <f aca="false">(K7*'📋 Assumptions'!C29*'📋 Assumptions'!C27)</f>
        <v>4291.56</v>
      </c>
      <c r="L9" s="42" t="n">
        <f aca="false">(L7*'📋 Assumptions'!C29*'📋 Assumptions'!C27)</f>
        <v>4291.56</v>
      </c>
      <c r="M9" s="42" t="n">
        <f aca="false">(M7*'📋 Assumptions'!C29*'📋 Assumptions'!C27)</f>
        <v>4291.56</v>
      </c>
      <c r="N9" s="42" t="n">
        <f aca="false">(N7*'📋 Assumptions'!C29*'📋 Assumptions'!C27)</f>
        <v>4291.56</v>
      </c>
      <c r="O9" s="42" t="n">
        <f aca="false">SUM(C9:N9)</f>
        <v>45061.38</v>
      </c>
    </row>
    <row r="10" customFormat="false" ht="19.5" hidden="false" customHeight="true" outlineLevel="0" collapsed="false">
      <c r="B10" s="43" t="s">
        <v>110</v>
      </c>
      <c r="C10" s="44" t="n">
        <f aca="false">(C7*(1-'📋 Assumptions'!C29)*'📋 Assumptions'!C28)</f>
        <v>894.075</v>
      </c>
      <c r="D10" s="44" t="n">
        <f aca="false">(D7*(1-'📋 Assumptions'!C29)*'📋 Assumptions'!C28)</f>
        <v>1072.89</v>
      </c>
      <c r="E10" s="44" t="n">
        <f aca="false">(E7*(1-'📋 Assumptions'!C29)*'📋 Assumptions'!C28)</f>
        <v>1251.705</v>
      </c>
      <c r="F10" s="44" t="n">
        <f aca="false">(F7*(1-'📋 Assumptions'!C29)*'📋 Assumptions'!C28)</f>
        <v>1430.52</v>
      </c>
      <c r="G10" s="44" t="n">
        <f aca="false">(G7*(1-'📋 Assumptions'!C29)*'📋 Assumptions'!C28)</f>
        <v>1609.335</v>
      </c>
      <c r="H10" s="44" t="n">
        <f aca="false">(H7*(1-'📋 Assumptions'!C29)*'📋 Assumptions'!C28)</f>
        <v>1788.15</v>
      </c>
      <c r="I10" s="44" t="n">
        <f aca="false">(I7*(1-'📋 Assumptions'!C29)*'📋 Assumptions'!C28)</f>
        <v>1788.15</v>
      </c>
      <c r="J10" s="44" t="n">
        <f aca="false">(J7*(1-'📋 Assumptions'!C29)*'📋 Assumptions'!C28)</f>
        <v>1788.15</v>
      </c>
      <c r="K10" s="44" t="n">
        <f aca="false">(K7*(1-'📋 Assumptions'!C29)*'📋 Assumptions'!C28)</f>
        <v>1788.15</v>
      </c>
      <c r="L10" s="44" t="n">
        <f aca="false">(L7*(1-'📋 Assumptions'!C29)*'📋 Assumptions'!C28)</f>
        <v>1788.15</v>
      </c>
      <c r="M10" s="44" t="n">
        <f aca="false">(M7*(1-'📋 Assumptions'!C29)*'📋 Assumptions'!C28)</f>
        <v>1788.15</v>
      </c>
      <c r="N10" s="44" t="n">
        <f aca="false">(N7*(1-'📋 Assumptions'!C29)*'📋 Assumptions'!C28)</f>
        <v>1788.15</v>
      </c>
      <c r="O10" s="44" t="n">
        <f aca="false">SUM(C10:N10)</f>
        <v>18775.575</v>
      </c>
    </row>
    <row r="11" customFormat="false" ht="21.75" hidden="false" customHeight="true" outlineLevel="0" collapsed="false">
      <c r="B11" s="39" t="s">
        <v>111</v>
      </c>
      <c r="C11" s="40" t="n">
        <f aca="false">SUM(C9:C10)</f>
        <v>3039.855</v>
      </c>
      <c r="D11" s="40" t="n">
        <f aca="false">SUM(D9:D10)</f>
        <v>3647.826</v>
      </c>
      <c r="E11" s="40" t="n">
        <f aca="false">SUM(E9:E10)</f>
        <v>4255.797</v>
      </c>
      <c r="F11" s="40" t="n">
        <f aca="false">SUM(F9:F10)</f>
        <v>4863.768</v>
      </c>
      <c r="G11" s="40" t="n">
        <f aca="false">SUM(G9:G10)</f>
        <v>5471.739</v>
      </c>
      <c r="H11" s="40" t="n">
        <f aca="false">SUM(H9:H10)</f>
        <v>6079.71</v>
      </c>
      <c r="I11" s="40" t="n">
        <f aca="false">SUM(I9:I10)</f>
        <v>6079.71</v>
      </c>
      <c r="J11" s="40" t="n">
        <f aca="false">SUM(J9:J10)</f>
        <v>6079.71</v>
      </c>
      <c r="K11" s="40" t="n">
        <f aca="false">SUM(K9:K10)</f>
        <v>6079.71</v>
      </c>
      <c r="L11" s="40" t="n">
        <f aca="false">SUM(L9:L10)</f>
        <v>6079.71</v>
      </c>
      <c r="M11" s="40" t="n">
        <f aca="false">SUM(M9:M10)</f>
        <v>6079.71</v>
      </c>
      <c r="N11" s="40" t="n">
        <f aca="false">SUM(N9:N10)</f>
        <v>6079.71</v>
      </c>
      <c r="O11" s="40" t="n">
        <f aca="false">SUM(C11:N11)</f>
        <v>63836.955</v>
      </c>
    </row>
    <row r="12" customFormat="false" ht="21.75" hidden="false" customHeight="true" outlineLevel="0" collapsed="false">
      <c r="B12" s="45" t="s">
        <v>112</v>
      </c>
      <c r="C12" s="46" t="n">
        <f aca="false">C7-C11</f>
        <v>7178.145</v>
      </c>
      <c r="D12" s="46" t="n">
        <f aca="false">D7-D11</f>
        <v>8613.774</v>
      </c>
      <c r="E12" s="46" t="n">
        <f aca="false">E7-E11</f>
        <v>10049.403</v>
      </c>
      <c r="F12" s="46" t="n">
        <f aca="false">F7-F11</f>
        <v>11485.032</v>
      </c>
      <c r="G12" s="46" t="n">
        <f aca="false">G7-G11</f>
        <v>12920.661</v>
      </c>
      <c r="H12" s="46" t="n">
        <f aca="false">H7-H11</f>
        <v>14356.29</v>
      </c>
      <c r="I12" s="46" t="n">
        <f aca="false">I7-I11</f>
        <v>14356.29</v>
      </c>
      <c r="J12" s="46" t="n">
        <f aca="false">J7-J11</f>
        <v>14356.29</v>
      </c>
      <c r="K12" s="46" t="n">
        <f aca="false">K7-K11</f>
        <v>14356.29</v>
      </c>
      <c r="L12" s="46" t="n">
        <f aca="false">L7-L11</f>
        <v>14356.29</v>
      </c>
      <c r="M12" s="46" t="n">
        <f aca="false">M7-M11</f>
        <v>14356.29</v>
      </c>
      <c r="N12" s="46" t="n">
        <f aca="false">N7-N11</f>
        <v>14356.29</v>
      </c>
      <c r="O12" s="46" t="n">
        <f aca="false">SUM(C12:N12)</f>
        <v>150741.045</v>
      </c>
    </row>
    <row r="13" customFormat="false" ht="18" hidden="false" customHeight="true" outlineLevel="0" collapsed="false">
      <c r="B13" s="47" t="s">
        <v>113</v>
      </c>
      <c r="C13" s="48" t="n">
        <f aca="false">IF(C7=0,0,C12/C7)</f>
        <v>0.7025</v>
      </c>
      <c r="D13" s="48" t="n">
        <f aca="false">IF(D7=0,0,D12/D7)</f>
        <v>0.7025</v>
      </c>
      <c r="E13" s="48" t="n">
        <f aca="false">IF(E7=0,0,E12/E7)</f>
        <v>0.7025</v>
      </c>
      <c r="F13" s="48" t="n">
        <f aca="false">IF(F7=0,0,F12/F7)</f>
        <v>0.7025</v>
      </c>
      <c r="G13" s="48" t="n">
        <f aca="false">IF(G7=0,0,G12/G7)</f>
        <v>0.7025</v>
      </c>
      <c r="H13" s="48" t="n">
        <f aca="false">IF(H7=0,0,H12/H7)</f>
        <v>0.7025</v>
      </c>
      <c r="I13" s="48" t="n">
        <f aca="false">IF(I7=0,0,I12/I7)</f>
        <v>0.7025</v>
      </c>
      <c r="J13" s="48" t="n">
        <f aca="false">IF(J7=0,0,J12/J7)</f>
        <v>0.7025</v>
      </c>
      <c r="K13" s="48" t="n">
        <f aca="false">IF(K7=0,0,K12/K7)</f>
        <v>0.7025</v>
      </c>
      <c r="L13" s="48" t="n">
        <f aca="false">IF(L7=0,0,L12/L7)</f>
        <v>0.7025</v>
      </c>
      <c r="M13" s="48" t="n">
        <f aca="false">IF(M7=0,0,M12/M7)</f>
        <v>0.7025</v>
      </c>
      <c r="N13" s="48" t="n">
        <f aca="false">IF(N7=0,0,N12/N7)</f>
        <v>0.7025</v>
      </c>
      <c r="O13" s="49" t="n">
        <f aca="false">IF(SUM(C7:N7)=0,0,SUM(C12:N12)/SUM(C7:N7))</f>
        <v>0.7025</v>
      </c>
    </row>
    <row r="15" customFormat="false" ht="21.75" hidden="false" customHeight="true" outlineLevel="0" collapsed="false">
      <c r="A15" s="14" t="s">
        <v>114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customFormat="false" ht="19.5" hidden="false" customHeight="true" outlineLevel="0" collapsed="false">
      <c r="B16" s="41" t="s">
        <v>115</v>
      </c>
      <c r="C16" s="42" t="n">
        <f aca="false">'📋 Assumptions'!C34*'📋 Assumptions'!C33*(52/12)</f>
        <v>6240</v>
      </c>
      <c r="D16" s="42" t="n">
        <f aca="false">'📋 Assumptions'!C34*'📋 Assumptions'!C33*(52/12)</f>
        <v>6240</v>
      </c>
      <c r="E16" s="42" t="n">
        <f aca="false">'📋 Assumptions'!C34*'📋 Assumptions'!C33*(52/12)</f>
        <v>6240</v>
      </c>
      <c r="F16" s="42" t="n">
        <f aca="false">'📋 Assumptions'!C34*'📋 Assumptions'!C33*(52/12)</f>
        <v>6240</v>
      </c>
      <c r="G16" s="42" t="n">
        <f aca="false">'📋 Assumptions'!C34*'📋 Assumptions'!C33*(52/12)</f>
        <v>6240</v>
      </c>
      <c r="H16" s="42" t="n">
        <f aca="false">'📋 Assumptions'!C34*'📋 Assumptions'!C33*(52/12)</f>
        <v>6240</v>
      </c>
      <c r="I16" s="42" t="n">
        <f aca="false">'📋 Assumptions'!C34*'📋 Assumptions'!C33*(52/12)</f>
        <v>6240</v>
      </c>
      <c r="J16" s="42" t="n">
        <f aca="false">'📋 Assumptions'!C34*'📋 Assumptions'!C33*(52/12)</f>
        <v>6240</v>
      </c>
      <c r="K16" s="42" t="n">
        <f aca="false">'📋 Assumptions'!C34*'📋 Assumptions'!C33*(52/12)</f>
        <v>6240</v>
      </c>
      <c r="L16" s="42" t="n">
        <f aca="false">'📋 Assumptions'!C34*'📋 Assumptions'!C33*(52/12)</f>
        <v>6240</v>
      </c>
      <c r="M16" s="42" t="n">
        <f aca="false">'📋 Assumptions'!C34*'📋 Assumptions'!C33*(52/12)</f>
        <v>6240</v>
      </c>
      <c r="N16" s="42" t="n">
        <f aca="false">'📋 Assumptions'!C34*'📋 Assumptions'!C33*(52/12)</f>
        <v>6240</v>
      </c>
      <c r="O16" s="42" t="n">
        <f aca="false">SUM(C16:N16)</f>
        <v>74880</v>
      </c>
    </row>
    <row r="17" customFormat="false" ht="18" hidden="false" customHeight="true" outlineLevel="0" collapsed="false">
      <c r="B17" s="50" t="s">
        <v>116</v>
      </c>
      <c r="C17" s="51" t="n">
        <f aca="false">IF(C7=0,0,C16/C7)</f>
        <v>0.610687022900763</v>
      </c>
      <c r="D17" s="51" t="n">
        <f aca="false">IF(D7=0,0,D16/D7)</f>
        <v>0.508905852417303</v>
      </c>
      <c r="E17" s="51" t="n">
        <f aca="false">IF(E7=0,0,E16/E7)</f>
        <v>0.436205016357688</v>
      </c>
      <c r="F17" s="51" t="n">
        <f aca="false">IF(F7=0,0,F16/F7)</f>
        <v>0.381679389312977</v>
      </c>
      <c r="G17" s="51" t="n">
        <f aca="false">IF(G7=0,0,G16/G7)</f>
        <v>0.339270568278202</v>
      </c>
      <c r="H17" s="51" t="n">
        <f aca="false">IF(H7=0,0,H16/H7)</f>
        <v>0.305343511450382</v>
      </c>
      <c r="I17" s="51" t="n">
        <f aca="false">IF(I7=0,0,I16/I7)</f>
        <v>0.305343511450382</v>
      </c>
      <c r="J17" s="51" t="n">
        <f aca="false">IF(J7=0,0,J16/J7)</f>
        <v>0.305343511450382</v>
      </c>
      <c r="K17" s="51" t="n">
        <f aca="false">IF(K7=0,0,K16/K7)</f>
        <v>0.305343511450382</v>
      </c>
      <c r="L17" s="51" t="n">
        <f aca="false">IF(L7=0,0,L16/L7)</f>
        <v>0.305343511450382</v>
      </c>
      <c r="M17" s="51" t="n">
        <f aca="false">IF(M7=0,0,M16/M7)</f>
        <v>0.305343511450382</v>
      </c>
      <c r="N17" s="51" t="n">
        <f aca="false">IF(N7=0,0,N16/N7)</f>
        <v>0.305343511450382</v>
      </c>
      <c r="O17" s="52" t="n">
        <f aca="false">IF(SUM(C7:N7)=0,0,SUM(C16:N16)/SUM(C7:N7))</f>
        <v>0.348964013086151</v>
      </c>
    </row>
    <row r="18" customFormat="false" ht="19.5" hidden="false" customHeight="true" outlineLevel="0" collapsed="false">
      <c r="B18" s="41" t="s">
        <v>117</v>
      </c>
      <c r="C18" s="42" t="n">
        <f aca="false">'📋 Assumptions'!C39</f>
        <v>4500</v>
      </c>
      <c r="D18" s="42" t="n">
        <f aca="false">'📋 Assumptions'!C39</f>
        <v>4500</v>
      </c>
      <c r="E18" s="42" t="n">
        <f aca="false">'📋 Assumptions'!C39</f>
        <v>4500</v>
      </c>
      <c r="F18" s="42" t="n">
        <f aca="false">'📋 Assumptions'!C39</f>
        <v>4500</v>
      </c>
      <c r="G18" s="42" t="n">
        <f aca="false">'📋 Assumptions'!C39</f>
        <v>4500</v>
      </c>
      <c r="H18" s="42" t="n">
        <f aca="false">'📋 Assumptions'!C39</f>
        <v>4500</v>
      </c>
      <c r="I18" s="42" t="n">
        <f aca="false">'📋 Assumptions'!C39</f>
        <v>4500</v>
      </c>
      <c r="J18" s="42" t="n">
        <f aca="false">'📋 Assumptions'!C39</f>
        <v>4500</v>
      </c>
      <c r="K18" s="42" t="n">
        <f aca="false">'📋 Assumptions'!C39</f>
        <v>4500</v>
      </c>
      <c r="L18" s="42" t="n">
        <f aca="false">'📋 Assumptions'!C39</f>
        <v>4500</v>
      </c>
      <c r="M18" s="42" t="n">
        <f aca="false">'📋 Assumptions'!C39</f>
        <v>4500</v>
      </c>
      <c r="N18" s="42" t="n">
        <f aca="false">'📋 Assumptions'!C39</f>
        <v>4500</v>
      </c>
      <c r="O18" s="42" t="n">
        <f aca="false">SUM(C18:N18)</f>
        <v>54000</v>
      </c>
    </row>
    <row r="19" customFormat="false" ht="19.5" hidden="false" customHeight="true" outlineLevel="0" collapsed="false">
      <c r="B19" s="43" t="s">
        <v>118</v>
      </c>
      <c r="C19" s="44" t="n">
        <f aca="false">'📋 Assumptions'!C40</f>
        <v>600</v>
      </c>
      <c r="D19" s="44" t="n">
        <f aca="false">'📋 Assumptions'!C40</f>
        <v>600</v>
      </c>
      <c r="E19" s="44" t="n">
        <f aca="false">'📋 Assumptions'!C40</f>
        <v>600</v>
      </c>
      <c r="F19" s="44" t="n">
        <f aca="false">'📋 Assumptions'!C40</f>
        <v>600</v>
      </c>
      <c r="G19" s="44" t="n">
        <f aca="false">'📋 Assumptions'!C40</f>
        <v>600</v>
      </c>
      <c r="H19" s="44" t="n">
        <f aca="false">'📋 Assumptions'!C40</f>
        <v>600</v>
      </c>
      <c r="I19" s="44" t="n">
        <f aca="false">'📋 Assumptions'!C40</f>
        <v>600</v>
      </c>
      <c r="J19" s="44" t="n">
        <f aca="false">'📋 Assumptions'!C40</f>
        <v>600</v>
      </c>
      <c r="K19" s="44" t="n">
        <f aca="false">'📋 Assumptions'!C40</f>
        <v>600</v>
      </c>
      <c r="L19" s="44" t="n">
        <f aca="false">'📋 Assumptions'!C40</f>
        <v>600</v>
      </c>
      <c r="M19" s="44" t="n">
        <f aca="false">'📋 Assumptions'!C40</f>
        <v>600</v>
      </c>
      <c r="N19" s="44" t="n">
        <f aca="false">'📋 Assumptions'!C40</f>
        <v>600</v>
      </c>
      <c r="O19" s="44" t="n">
        <f aca="false">SUM(C19:N19)</f>
        <v>7200</v>
      </c>
    </row>
    <row r="20" customFormat="false" ht="19.5" hidden="false" customHeight="true" outlineLevel="0" collapsed="false">
      <c r="B20" s="41" t="s">
        <v>119</v>
      </c>
      <c r="C20" s="42" t="n">
        <f aca="false">'📋 Assumptions'!C41</f>
        <v>300</v>
      </c>
      <c r="D20" s="42" t="n">
        <f aca="false">'📋 Assumptions'!C41</f>
        <v>300</v>
      </c>
      <c r="E20" s="42" t="n">
        <f aca="false">'📋 Assumptions'!C41</f>
        <v>300</v>
      </c>
      <c r="F20" s="42" t="n">
        <f aca="false">'📋 Assumptions'!C41</f>
        <v>300</v>
      </c>
      <c r="G20" s="42" t="n">
        <f aca="false">'📋 Assumptions'!C41</f>
        <v>300</v>
      </c>
      <c r="H20" s="42" t="n">
        <f aca="false">'📋 Assumptions'!C41</f>
        <v>300</v>
      </c>
      <c r="I20" s="42" t="n">
        <f aca="false">'📋 Assumptions'!C41</f>
        <v>300</v>
      </c>
      <c r="J20" s="42" t="n">
        <f aca="false">'📋 Assumptions'!C41</f>
        <v>300</v>
      </c>
      <c r="K20" s="42" t="n">
        <f aca="false">'📋 Assumptions'!C41</f>
        <v>300</v>
      </c>
      <c r="L20" s="42" t="n">
        <f aca="false">'📋 Assumptions'!C41</f>
        <v>300</v>
      </c>
      <c r="M20" s="42" t="n">
        <f aca="false">'📋 Assumptions'!C41</f>
        <v>300</v>
      </c>
      <c r="N20" s="42" t="n">
        <f aca="false">'📋 Assumptions'!C41</f>
        <v>300</v>
      </c>
      <c r="O20" s="42" t="n">
        <f aca="false">SUM(C20:N20)</f>
        <v>3600</v>
      </c>
    </row>
    <row r="21" customFormat="false" ht="19.5" hidden="false" customHeight="true" outlineLevel="0" collapsed="false">
      <c r="B21" s="43" t="s">
        <v>120</v>
      </c>
      <c r="C21" s="44" t="n">
        <f aca="false">'📋 Assumptions'!C42</f>
        <v>150</v>
      </c>
      <c r="D21" s="44" t="n">
        <f aca="false">'📋 Assumptions'!C42</f>
        <v>150</v>
      </c>
      <c r="E21" s="44" t="n">
        <f aca="false">'📋 Assumptions'!C42</f>
        <v>150</v>
      </c>
      <c r="F21" s="44" t="n">
        <f aca="false">'📋 Assumptions'!C42</f>
        <v>150</v>
      </c>
      <c r="G21" s="44" t="n">
        <f aca="false">'📋 Assumptions'!C42</f>
        <v>150</v>
      </c>
      <c r="H21" s="44" t="n">
        <f aca="false">'📋 Assumptions'!C42</f>
        <v>150</v>
      </c>
      <c r="I21" s="44" t="n">
        <f aca="false">'📋 Assumptions'!C42</f>
        <v>150</v>
      </c>
      <c r="J21" s="44" t="n">
        <f aca="false">'📋 Assumptions'!C42</f>
        <v>150</v>
      </c>
      <c r="K21" s="44" t="n">
        <f aca="false">'📋 Assumptions'!C42</f>
        <v>150</v>
      </c>
      <c r="L21" s="44" t="n">
        <f aca="false">'📋 Assumptions'!C42</f>
        <v>150</v>
      </c>
      <c r="M21" s="44" t="n">
        <f aca="false">'📋 Assumptions'!C42</f>
        <v>150</v>
      </c>
      <c r="N21" s="44" t="n">
        <f aca="false">'📋 Assumptions'!C42</f>
        <v>150</v>
      </c>
      <c r="O21" s="44" t="n">
        <f aca="false">SUM(C21:N21)</f>
        <v>1800</v>
      </c>
    </row>
    <row r="22" customFormat="false" ht="19.5" hidden="false" customHeight="true" outlineLevel="0" collapsed="false">
      <c r="B22" s="41" t="s">
        <v>121</v>
      </c>
      <c r="C22" s="42" t="n">
        <f aca="false">'📋 Assumptions'!C43</f>
        <v>200</v>
      </c>
      <c r="D22" s="42" t="n">
        <f aca="false">'📋 Assumptions'!C43</f>
        <v>200</v>
      </c>
      <c r="E22" s="42" t="n">
        <f aca="false">'📋 Assumptions'!C43</f>
        <v>200</v>
      </c>
      <c r="F22" s="42" t="n">
        <f aca="false">'📋 Assumptions'!C43</f>
        <v>200</v>
      </c>
      <c r="G22" s="42" t="n">
        <f aca="false">'📋 Assumptions'!C43</f>
        <v>200</v>
      </c>
      <c r="H22" s="42" t="n">
        <f aca="false">'📋 Assumptions'!C43</f>
        <v>200</v>
      </c>
      <c r="I22" s="42" t="n">
        <f aca="false">'📋 Assumptions'!C43</f>
        <v>200</v>
      </c>
      <c r="J22" s="42" t="n">
        <f aca="false">'📋 Assumptions'!C43</f>
        <v>200</v>
      </c>
      <c r="K22" s="42" t="n">
        <f aca="false">'📋 Assumptions'!C43</f>
        <v>200</v>
      </c>
      <c r="L22" s="42" t="n">
        <f aca="false">'📋 Assumptions'!C43</f>
        <v>200</v>
      </c>
      <c r="M22" s="42" t="n">
        <f aca="false">'📋 Assumptions'!C43</f>
        <v>200</v>
      </c>
      <c r="N22" s="42" t="n">
        <f aca="false">'📋 Assumptions'!C43</f>
        <v>200</v>
      </c>
      <c r="O22" s="42" t="n">
        <f aca="false">SUM(C22:N22)</f>
        <v>2400</v>
      </c>
    </row>
    <row r="23" customFormat="false" ht="19.5" hidden="false" customHeight="true" outlineLevel="0" collapsed="false">
      <c r="B23" s="43" t="s">
        <v>122</v>
      </c>
      <c r="C23" s="44" t="n">
        <f aca="false">'📋 Assumptions'!C44</f>
        <v>150</v>
      </c>
      <c r="D23" s="44" t="n">
        <f aca="false">'📋 Assumptions'!C44</f>
        <v>150</v>
      </c>
      <c r="E23" s="44" t="n">
        <f aca="false">'📋 Assumptions'!C44</f>
        <v>150</v>
      </c>
      <c r="F23" s="44" t="n">
        <f aca="false">'📋 Assumptions'!C44</f>
        <v>150</v>
      </c>
      <c r="G23" s="44" t="n">
        <f aca="false">'📋 Assumptions'!C44</f>
        <v>150</v>
      </c>
      <c r="H23" s="44" t="n">
        <f aca="false">'📋 Assumptions'!C44</f>
        <v>150</v>
      </c>
      <c r="I23" s="44" t="n">
        <f aca="false">'📋 Assumptions'!C44</f>
        <v>150</v>
      </c>
      <c r="J23" s="44" t="n">
        <f aca="false">'📋 Assumptions'!C44</f>
        <v>150</v>
      </c>
      <c r="K23" s="44" t="n">
        <f aca="false">'📋 Assumptions'!C44</f>
        <v>150</v>
      </c>
      <c r="L23" s="44" t="n">
        <f aca="false">'📋 Assumptions'!C44</f>
        <v>150</v>
      </c>
      <c r="M23" s="44" t="n">
        <f aca="false">'📋 Assumptions'!C44</f>
        <v>150</v>
      </c>
      <c r="N23" s="44" t="n">
        <f aca="false">'📋 Assumptions'!C44</f>
        <v>150</v>
      </c>
      <c r="O23" s="44" t="n">
        <f aca="false">SUM(C23:N23)</f>
        <v>1800</v>
      </c>
    </row>
    <row r="24" customFormat="false" ht="19.5" hidden="false" customHeight="true" outlineLevel="0" collapsed="false">
      <c r="B24" s="41" t="s">
        <v>123</v>
      </c>
      <c r="C24" s="42" t="n">
        <f aca="false">'📋 Assumptions'!C45</f>
        <v>0</v>
      </c>
      <c r="D24" s="42" t="n">
        <f aca="false">'📋 Assumptions'!C45</f>
        <v>0</v>
      </c>
      <c r="E24" s="42" t="n">
        <f aca="false">'📋 Assumptions'!C45</f>
        <v>0</v>
      </c>
      <c r="F24" s="42" t="n">
        <f aca="false">'📋 Assumptions'!C45</f>
        <v>0</v>
      </c>
      <c r="G24" s="42" t="n">
        <f aca="false">'📋 Assumptions'!C45</f>
        <v>0</v>
      </c>
      <c r="H24" s="42" t="n">
        <f aca="false">'📋 Assumptions'!C45</f>
        <v>0</v>
      </c>
      <c r="I24" s="42" t="n">
        <f aca="false">'📋 Assumptions'!C45</f>
        <v>0</v>
      </c>
      <c r="J24" s="42" t="n">
        <f aca="false">'📋 Assumptions'!C45</f>
        <v>0</v>
      </c>
      <c r="K24" s="42" t="n">
        <f aca="false">'📋 Assumptions'!C45</f>
        <v>0</v>
      </c>
      <c r="L24" s="42" t="n">
        <f aca="false">'📋 Assumptions'!C45</f>
        <v>0</v>
      </c>
      <c r="M24" s="42" t="n">
        <f aca="false">'📋 Assumptions'!C45</f>
        <v>0</v>
      </c>
      <c r="N24" s="42" t="n">
        <f aca="false">'📋 Assumptions'!C45</f>
        <v>0</v>
      </c>
      <c r="O24" s="42" t="n">
        <f aca="false">SUM(C24:N24)</f>
        <v>0</v>
      </c>
    </row>
    <row r="25" customFormat="false" ht="19.5" hidden="false" customHeight="true" outlineLevel="0" collapsed="false">
      <c r="B25" s="43" t="s">
        <v>124</v>
      </c>
      <c r="C25" s="44" t="n">
        <f aca="false">'📋 Assumptions'!C46</f>
        <v>200</v>
      </c>
      <c r="D25" s="44" t="n">
        <f aca="false">'📋 Assumptions'!C46</f>
        <v>200</v>
      </c>
      <c r="E25" s="44" t="n">
        <f aca="false">'📋 Assumptions'!C46</f>
        <v>200</v>
      </c>
      <c r="F25" s="44" t="n">
        <f aca="false">'📋 Assumptions'!C46</f>
        <v>200</v>
      </c>
      <c r="G25" s="44" t="n">
        <f aca="false">'📋 Assumptions'!C46</f>
        <v>200</v>
      </c>
      <c r="H25" s="44" t="n">
        <f aca="false">'📋 Assumptions'!C46</f>
        <v>200</v>
      </c>
      <c r="I25" s="44" t="n">
        <f aca="false">'📋 Assumptions'!C46</f>
        <v>200</v>
      </c>
      <c r="J25" s="44" t="n">
        <f aca="false">'📋 Assumptions'!C46</f>
        <v>200</v>
      </c>
      <c r="K25" s="44" t="n">
        <f aca="false">'📋 Assumptions'!C46</f>
        <v>200</v>
      </c>
      <c r="L25" s="44" t="n">
        <f aca="false">'📋 Assumptions'!C46</f>
        <v>200</v>
      </c>
      <c r="M25" s="44" t="n">
        <f aca="false">'📋 Assumptions'!C46</f>
        <v>200</v>
      </c>
      <c r="N25" s="44" t="n">
        <f aca="false">'📋 Assumptions'!C46</f>
        <v>200</v>
      </c>
      <c r="O25" s="44" t="n">
        <f aca="false">SUM(C25:N25)</f>
        <v>2400</v>
      </c>
    </row>
    <row r="26" customFormat="false" ht="21.75" hidden="false" customHeight="true" outlineLevel="0" collapsed="false">
      <c r="B26" s="39" t="s">
        <v>125</v>
      </c>
      <c r="C26" s="40" t="n">
        <f aca="false">C16+C18+C19+C20+C21+C22+C23+C24+C25</f>
        <v>12340</v>
      </c>
      <c r="D26" s="40" t="n">
        <f aca="false">D16+D18+D19+D20+D21+D22+D23+D24+D25</f>
        <v>12340</v>
      </c>
      <c r="E26" s="40" t="n">
        <f aca="false">E16+E18+E19+E20+E21+E22+E23+E24+E25</f>
        <v>12340</v>
      </c>
      <c r="F26" s="40" t="n">
        <f aca="false">F16+F18+F19+F20+F21+F22+F23+F24+F25</f>
        <v>12340</v>
      </c>
      <c r="G26" s="40" t="n">
        <f aca="false">G16+G18+G19+G20+G21+G22+G23+G24+G25</f>
        <v>12340</v>
      </c>
      <c r="H26" s="40" t="n">
        <f aca="false">H16+H18+H19+H20+H21+H22+H23+H24+H25</f>
        <v>12340</v>
      </c>
      <c r="I26" s="40" t="n">
        <f aca="false">I16+I18+I19+I20+I21+I22+I23+I24+I25</f>
        <v>12340</v>
      </c>
      <c r="J26" s="40" t="n">
        <f aca="false">J16+J18+J19+J20+J21+J22+J23+J24+J25</f>
        <v>12340</v>
      </c>
      <c r="K26" s="40" t="n">
        <f aca="false">K16+K18+K19+K20+K21+K22+K23+K24+K25</f>
        <v>12340</v>
      </c>
      <c r="L26" s="40" t="n">
        <f aca="false">L16+L18+L19+L20+L21+L22+L23+L24+L25</f>
        <v>12340</v>
      </c>
      <c r="M26" s="40" t="n">
        <f aca="false">M16+M18+M19+M20+M21+M22+M23+M24+M25</f>
        <v>12340</v>
      </c>
      <c r="N26" s="40" t="n">
        <f aca="false">N16+N18+N19+N20+N21+N22+N23+N24+N25</f>
        <v>12340</v>
      </c>
      <c r="O26" s="40" t="n">
        <f aca="false">SUM(C26:N26)</f>
        <v>148080</v>
      </c>
    </row>
    <row r="28" customFormat="false" ht="27.75" hidden="false" customHeight="true" outlineLevel="0" collapsed="false">
      <c r="B28" s="53" t="s">
        <v>126</v>
      </c>
      <c r="C28" s="54" t="n">
        <f aca="false">C12-C26</f>
        <v>-5161.855</v>
      </c>
      <c r="D28" s="54" t="n">
        <f aca="false">D12-D26</f>
        <v>-3726.226</v>
      </c>
      <c r="E28" s="54" t="n">
        <f aca="false">E12-E26</f>
        <v>-2290.597</v>
      </c>
      <c r="F28" s="54" t="n">
        <f aca="false">F12-F26</f>
        <v>-854.967999999999</v>
      </c>
      <c r="G28" s="54" t="n">
        <f aca="false">G12-G26</f>
        <v>580.661</v>
      </c>
      <c r="H28" s="54" t="n">
        <f aca="false">H12-H26</f>
        <v>2016.29</v>
      </c>
      <c r="I28" s="54" t="n">
        <f aca="false">I12-I26</f>
        <v>2016.29</v>
      </c>
      <c r="J28" s="54" t="n">
        <f aca="false">J12-J26</f>
        <v>2016.29</v>
      </c>
      <c r="K28" s="54" t="n">
        <f aca="false">K12-K26</f>
        <v>2016.29</v>
      </c>
      <c r="L28" s="54" t="n">
        <f aca="false">L12-L26</f>
        <v>2016.29</v>
      </c>
      <c r="M28" s="54" t="n">
        <f aca="false">M12-M26</f>
        <v>2016.29</v>
      </c>
      <c r="N28" s="54" t="n">
        <f aca="false">N12-N26</f>
        <v>2016.29</v>
      </c>
      <c r="O28" s="54" t="n">
        <f aca="false">SUM(C28:N28)</f>
        <v>2661.04500000001</v>
      </c>
    </row>
    <row r="29" customFormat="false" ht="18" hidden="false" customHeight="true" outlineLevel="0" collapsed="false">
      <c r="B29" s="47" t="s">
        <v>127</v>
      </c>
      <c r="C29" s="48" t="n">
        <f aca="false">IF(C7=0,0,C28/C7)</f>
        <v>-0.505172734390292</v>
      </c>
      <c r="D29" s="48" t="n">
        <f aca="false">IF(D7=0,0,D28/D7)</f>
        <v>-0.303893945325243</v>
      </c>
      <c r="E29" s="48" t="n">
        <f aca="false">IF(E7=0,0,E28/E7)</f>
        <v>-0.160123381707351</v>
      </c>
      <c r="F29" s="48" t="n">
        <f aca="false">IF(F7=0,0,F28/F7)</f>
        <v>-0.0522954589939322</v>
      </c>
      <c r="G29" s="48" t="n">
        <f aca="false">IF(G7=0,0,G28/G7)</f>
        <v>0.0315707031165046</v>
      </c>
      <c r="H29" s="48" t="n">
        <f aca="false">IF(H7=0,0,H28/H7)</f>
        <v>0.0986636328048542</v>
      </c>
      <c r="I29" s="48" t="n">
        <f aca="false">IF(I7=0,0,I28/I7)</f>
        <v>0.0986636328048542</v>
      </c>
      <c r="J29" s="48" t="n">
        <f aca="false">IF(J7=0,0,J28/J7)</f>
        <v>0.0986636328048542</v>
      </c>
      <c r="K29" s="48" t="n">
        <f aca="false">IF(K7=0,0,K28/K7)</f>
        <v>0.0986636328048542</v>
      </c>
      <c r="L29" s="48" t="n">
        <f aca="false">IF(L7=0,0,L28/L7)</f>
        <v>0.0986636328048542</v>
      </c>
      <c r="M29" s="48" t="n">
        <f aca="false">IF(M7=0,0,M28/M7)</f>
        <v>0.0986636328048542</v>
      </c>
      <c r="N29" s="48" t="n">
        <f aca="false">IF(N7=0,0,N28/N7)</f>
        <v>0.0986636328048542</v>
      </c>
      <c r="O29" s="49" t="n">
        <f aca="false">IF(SUM(C7:N7)=0,0,SUM(C28:N28)/SUM(C7:N7))</f>
        <v>0.0124012946341191</v>
      </c>
    </row>
    <row r="31" customFormat="false" ht="27.75" hidden="false" customHeight="true" outlineLevel="0" collapsed="false">
      <c r="B31" s="12" t="s">
        <v>128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</sheetData>
  <mergeCells count="5">
    <mergeCell ref="A2:O2"/>
    <mergeCell ref="A6:O6"/>
    <mergeCell ref="A8:O8"/>
    <mergeCell ref="A15:O15"/>
    <mergeCell ref="B31:O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"/>
  </cols>
  <sheetData>
    <row r="1" customFormat="false" ht="7.5" hidden="false" customHeight="true" outlineLevel="0" collapsed="false"/>
    <row r="2" customFormat="false" ht="31.5" hidden="false" customHeight="true" outlineLevel="0" collapsed="false">
      <c r="A2" s="13" t="s">
        <v>129</v>
      </c>
      <c r="B2" s="13"/>
      <c r="C2" s="13"/>
      <c r="D2" s="13"/>
    </row>
    <row r="3" customFormat="false" ht="7.5" hidden="false" customHeight="true" outlineLevel="0" collapsed="false"/>
    <row r="4" customFormat="false" ht="27.75" hidden="false" customHeight="true" outlineLevel="0" collapsed="false">
      <c r="B4" s="12" t="s">
        <v>130</v>
      </c>
      <c r="C4" s="12"/>
      <c r="D4" s="12"/>
    </row>
    <row r="6" customFormat="false" ht="24" hidden="false" customHeight="true" outlineLevel="0" collapsed="false">
      <c r="A6" s="14" t="s">
        <v>131</v>
      </c>
      <c r="B6" s="14"/>
      <c r="C6" s="14"/>
      <c r="D6" s="14"/>
    </row>
    <row r="7" customFormat="false" ht="21.75" hidden="false" customHeight="true" outlineLevel="0" collapsed="false">
      <c r="B7" s="41" t="s">
        <v>29</v>
      </c>
      <c r="C7" s="55" t="n">
        <f aca="false">'📋 Assumptions'!C8</f>
        <v>6</v>
      </c>
    </row>
    <row r="8" customFormat="false" ht="21.75" hidden="false" customHeight="true" outlineLevel="0" collapsed="false">
      <c r="B8" s="43" t="s">
        <v>37</v>
      </c>
      <c r="C8" s="56" t="n">
        <f aca="false">'📋 Assumptions'!C11</f>
        <v>10</v>
      </c>
    </row>
    <row r="9" customFormat="false" ht="21.75" hidden="false" customHeight="true" outlineLevel="0" collapsed="false">
      <c r="B9" s="41" t="s">
        <v>132</v>
      </c>
      <c r="C9" s="55" t="n">
        <f aca="false">('📋 Assumptions'!C16*'📋 Assumptions'!C17)+(('📋 Assumptions'!C11-'📋 Assumptions'!C16)*'📋 Assumptions'!C20)</f>
        <v>116</v>
      </c>
    </row>
    <row r="10" customFormat="false" ht="21.75" hidden="false" customHeight="true" outlineLevel="0" collapsed="false">
      <c r="B10" s="43" t="s">
        <v>133</v>
      </c>
      <c r="C10" s="57" t="n">
        <f aca="false">IF(('📋 Assumptions'!C16*'📋 Assumptions'!C17)+(('📋 Assumptions'!C11-'📋 Assumptions'!C16)*'📋 Assumptions'!C20)=0,0,('📋 Assumptions'!C16*'📋 Assumptions'!C17*'📋 Assumptions'!C18+('📋 Assumptions'!C11-'📋 Assumptions'!C16)*'📋 Assumptions'!C20*'📋 Assumptions'!C21)/(('📋 Assumptions'!C16*'📋 Assumptions'!C17)+(('📋 Assumptions'!C11-'📋 Assumptions'!C16)*'📋 Assumptions'!C20)))</f>
        <v>6.77586206896552</v>
      </c>
    </row>
    <row r="11" customFormat="false" ht="21.75" hidden="false" customHeight="true" outlineLevel="0" collapsed="false">
      <c r="B11" s="41" t="s">
        <v>134</v>
      </c>
      <c r="C11" s="58" t="n">
        <f aca="false">'📋 Assumptions'!C29*'📋 Assumptions'!C27+(1-'📋 Assumptions'!C29)*'📋 Assumptions'!C28</f>
        <v>0.2975</v>
      </c>
    </row>
    <row r="12" customFormat="false" ht="21.75" hidden="false" customHeight="true" outlineLevel="0" collapsed="false">
      <c r="B12" s="43" t="s">
        <v>135</v>
      </c>
      <c r="C12" s="59" t="n">
        <f aca="false">1-('📋 Assumptions'!C29*'📋 Assumptions'!C27+(1-'📋 Assumptions'!C29)*'📋 Assumptions'!C28)</f>
        <v>0.7025</v>
      </c>
    </row>
    <row r="14" customFormat="false" ht="24" hidden="false" customHeight="true" outlineLevel="0" collapsed="false">
      <c r="A14" s="14" t="s">
        <v>136</v>
      </c>
      <c r="B14" s="14"/>
      <c r="C14" s="14"/>
      <c r="D14" s="14"/>
    </row>
    <row r="15" customFormat="false" ht="19.5" hidden="false" customHeight="true" outlineLevel="0" collapsed="false">
      <c r="B15" s="41" t="s">
        <v>137</v>
      </c>
      <c r="C15" s="60" t="n">
        <f aca="false">'📋 Assumptions'!C34*'📋 Assumptions'!C33*(52/12)</f>
        <v>6240</v>
      </c>
    </row>
    <row r="16" customFormat="false" ht="19.5" hidden="false" customHeight="true" outlineLevel="0" collapsed="false">
      <c r="B16" s="43" t="s">
        <v>138</v>
      </c>
      <c r="C16" s="61" t="n">
        <f aca="false">'📋 Assumptions'!C39</f>
        <v>4500</v>
      </c>
    </row>
    <row r="17" customFormat="false" ht="19.5" hidden="false" customHeight="true" outlineLevel="0" collapsed="false">
      <c r="B17" s="41" t="s">
        <v>139</v>
      </c>
      <c r="C17" s="60" t="n">
        <f aca="false">'📋 Assumptions'!C40</f>
        <v>600</v>
      </c>
    </row>
    <row r="18" customFormat="false" ht="19.5" hidden="false" customHeight="true" outlineLevel="0" collapsed="false">
      <c r="B18" s="43" t="s">
        <v>140</v>
      </c>
      <c r="C18" s="61" t="n">
        <f aca="false">'📋 Assumptions'!C41</f>
        <v>300</v>
      </c>
    </row>
    <row r="19" customFormat="false" ht="19.5" hidden="false" customHeight="true" outlineLevel="0" collapsed="false">
      <c r="B19" s="41" t="s">
        <v>141</v>
      </c>
      <c r="C19" s="60" t="n">
        <f aca="false">'📋 Assumptions'!C42</f>
        <v>150</v>
      </c>
    </row>
    <row r="20" customFormat="false" ht="19.5" hidden="false" customHeight="true" outlineLevel="0" collapsed="false">
      <c r="B20" s="43" t="s">
        <v>142</v>
      </c>
      <c r="C20" s="61" t="n">
        <f aca="false">'📋 Assumptions'!C43</f>
        <v>200</v>
      </c>
    </row>
    <row r="21" customFormat="false" ht="19.5" hidden="false" customHeight="true" outlineLevel="0" collapsed="false">
      <c r="B21" s="41" t="s">
        <v>143</v>
      </c>
      <c r="C21" s="60" t="n">
        <f aca="false">'📋 Assumptions'!C44</f>
        <v>150</v>
      </c>
    </row>
    <row r="22" customFormat="false" ht="19.5" hidden="false" customHeight="true" outlineLevel="0" collapsed="false">
      <c r="B22" s="43" t="s">
        <v>144</v>
      </c>
      <c r="C22" s="61" t="n">
        <f aca="false">'📋 Assumptions'!C45</f>
        <v>0</v>
      </c>
    </row>
    <row r="23" customFormat="false" ht="19.5" hidden="false" customHeight="true" outlineLevel="0" collapsed="false">
      <c r="B23" s="41" t="s">
        <v>145</v>
      </c>
      <c r="C23" s="60" t="n">
        <f aca="false">'📋 Assumptions'!C46</f>
        <v>200</v>
      </c>
    </row>
    <row r="24" customFormat="false" ht="21.75" hidden="false" customHeight="true" outlineLevel="0" collapsed="false">
      <c r="B24" s="39" t="s">
        <v>146</v>
      </c>
      <c r="C24" s="62" t="n">
        <f aca="false">SUM(C15:C23)</f>
        <v>12340</v>
      </c>
    </row>
    <row r="26" customFormat="false" ht="24" hidden="false" customHeight="true" outlineLevel="0" collapsed="false">
      <c r="A26" s="38" t="s">
        <v>147</v>
      </c>
      <c r="B26" s="38"/>
      <c r="C26" s="38"/>
      <c r="D26" s="38"/>
    </row>
    <row r="27" customFormat="false" ht="25.5" hidden="false" customHeight="true" outlineLevel="0" collapsed="false">
      <c r="B27" s="39" t="s">
        <v>148</v>
      </c>
      <c r="C27" s="63" t="n">
        <f aca="false">IF(C12=0,0,C24/C12)</f>
        <v>17565.8362989324</v>
      </c>
    </row>
    <row r="28" customFormat="false" ht="25.5" hidden="false" customHeight="true" outlineLevel="0" collapsed="false">
      <c r="B28" s="64" t="s">
        <v>149</v>
      </c>
      <c r="C28" s="65" t="n">
        <f aca="false">IF(C12=0,0,(C24/C12)/('📋 Assumptions'!C8*(52/12)/12))</f>
        <v>8107.30906104572</v>
      </c>
    </row>
    <row r="29" customFormat="false" ht="25.5" hidden="false" customHeight="true" outlineLevel="0" collapsed="false">
      <c r="B29" s="39" t="s">
        <v>150</v>
      </c>
      <c r="C29" s="63" t="n">
        <f aca="false">IF(C12=0,0,(C24/C12)/(('📋 Assumptions'!C8*(52/12))))</f>
        <v>675.609088420476</v>
      </c>
    </row>
    <row r="30" customFormat="false" ht="39.75" hidden="false" customHeight="true" outlineLevel="0" collapsed="false">
      <c r="B30" s="53" t="s">
        <v>151</v>
      </c>
      <c r="C30" s="66" t="n">
        <f aca="false">IF(C10=0,0,C29/C10)</f>
        <v>99.7082115226148</v>
      </c>
    </row>
    <row r="32" customFormat="false" ht="27.75" hidden="false" customHeight="true" outlineLevel="0" collapsed="false">
      <c r="B32" s="12" t="s">
        <v>152</v>
      </c>
      <c r="C32" s="12"/>
      <c r="D32" s="12"/>
    </row>
    <row r="33" customFormat="false" ht="25.5" hidden="false" customHeight="true" outlineLevel="0" collapsed="false">
      <c r="B33" s="39" t="s">
        <v>153</v>
      </c>
      <c r="C33" s="67" t="n">
        <f aca="false">C9</f>
        <v>116</v>
      </c>
    </row>
    <row r="35" customFormat="false" ht="60" hidden="false" customHeight="true" outlineLevel="0" collapsed="false">
      <c r="B35" s="12" t="s">
        <v>154</v>
      </c>
      <c r="C35" s="12"/>
      <c r="D35" s="12"/>
    </row>
  </sheetData>
  <mergeCells count="7">
    <mergeCell ref="A2:D2"/>
    <mergeCell ref="B4:D4"/>
    <mergeCell ref="A6:D6"/>
    <mergeCell ref="A14:D14"/>
    <mergeCell ref="A26:D26"/>
    <mergeCell ref="B32:D32"/>
    <mergeCell ref="B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2"/>
  </cols>
  <sheetData>
    <row r="1" customFormat="false" ht="7.5" hidden="false" customHeight="true" outlineLevel="0" collapsed="false"/>
    <row r="2" customFormat="false" ht="31.5" hidden="false" customHeight="true" outlineLevel="0" collapsed="false">
      <c r="A2" s="13" t="s">
        <v>155</v>
      </c>
      <c r="B2" s="13"/>
      <c r="C2" s="13"/>
      <c r="D2" s="13"/>
    </row>
    <row r="3" customFormat="false" ht="7.5" hidden="false" customHeight="true" outlineLevel="0" collapsed="false"/>
    <row r="4" customFormat="false" ht="27.75" hidden="false" customHeight="true" outlineLevel="0" collapsed="false">
      <c r="B4" s="12" t="s">
        <v>156</v>
      </c>
      <c r="C4" s="12"/>
      <c r="D4" s="12"/>
    </row>
    <row r="6" customFormat="false" ht="24" hidden="false" customHeight="true" outlineLevel="0" collapsed="false">
      <c r="A6" s="14" t="s">
        <v>157</v>
      </c>
      <c r="B6" s="14"/>
      <c r="C6" s="14"/>
      <c r="D6" s="14"/>
    </row>
    <row r="7" customFormat="false" ht="21.75" hidden="false" customHeight="true" outlineLevel="0" collapsed="false">
      <c r="B7" s="41" t="s">
        <v>158</v>
      </c>
      <c r="C7" s="32" t="n">
        <v>12000</v>
      </c>
      <c r="D7" s="17" t="s">
        <v>159</v>
      </c>
    </row>
    <row r="8" customFormat="false" ht="21.75" hidden="false" customHeight="true" outlineLevel="0" collapsed="false">
      <c r="B8" s="43" t="s">
        <v>160</v>
      </c>
      <c r="C8" s="32" t="n">
        <v>4000</v>
      </c>
      <c r="D8" s="17" t="s">
        <v>161</v>
      </c>
    </row>
    <row r="9" customFormat="false" ht="21.75" hidden="false" customHeight="true" outlineLevel="0" collapsed="false">
      <c r="B9" s="41" t="s">
        <v>162</v>
      </c>
      <c r="C9" s="32" t="n">
        <v>1500</v>
      </c>
      <c r="D9" s="17" t="s">
        <v>163</v>
      </c>
    </row>
    <row r="10" customFormat="false" ht="21.75" hidden="false" customHeight="true" outlineLevel="0" collapsed="false">
      <c r="B10" s="43" t="s">
        <v>164</v>
      </c>
      <c r="C10" s="32" t="n">
        <v>800</v>
      </c>
      <c r="D10" s="17" t="s">
        <v>165</v>
      </c>
    </row>
    <row r="11" customFormat="false" ht="21.75" hidden="false" customHeight="true" outlineLevel="0" collapsed="false">
      <c r="B11" s="41" t="s">
        <v>166</v>
      </c>
      <c r="C11" s="32" t="n">
        <v>2000</v>
      </c>
      <c r="D11" s="17" t="s">
        <v>167</v>
      </c>
    </row>
    <row r="12" customFormat="false" ht="21.75" hidden="false" customHeight="true" outlineLevel="0" collapsed="false">
      <c r="B12" s="43" t="s">
        <v>168</v>
      </c>
      <c r="C12" s="32" t="n">
        <v>500</v>
      </c>
      <c r="D12" s="17"/>
    </row>
    <row r="13" customFormat="false" ht="21.75" hidden="false" customHeight="true" outlineLevel="0" collapsed="false">
      <c r="B13" s="68" t="s">
        <v>169</v>
      </c>
      <c r="C13" s="69" t="n">
        <f aca="false">SUM(C7:C12)</f>
        <v>20800</v>
      </c>
    </row>
    <row r="15" customFormat="false" ht="24" hidden="false" customHeight="true" outlineLevel="0" collapsed="false">
      <c r="A15" s="14" t="s">
        <v>170</v>
      </c>
      <c r="B15" s="14"/>
      <c r="C15" s="14"/>
      <c r="D15" s="14"/>
    </row>
    <row r="16" customFormat="false" ht="21.75" hidden="false" customHeight="true" outlineLevel="0" collapsed="false">
      <c r="B16" s="41" t="s">
        <v>171</v>
      </c>
      <c r="C16" s="32" t="n">
        <v>15000</v>
      </c>
      <c r="D16" s="17" t="s">
        <v>172</v>
      </c>
    </row>
    <row r="17" customFormat="false" ht="21.75" hidden="false" customHeight="true" outlineLevel="0" collapsed="false">
      <c r="B17" s="43" t="s">
        <v>173</v>
      </c>
      <c r="C17" s="32" t="n">
        <v>3000</v>
      </c>
      <c r="D17" s="17" t="s">
        <v>174</v>
      </c>
    </row>
    <row r="18" customFormat="false" ht="21.75" hidden="false" customHeight="true" outlineLevel="0" collapsed="false">
      <c r="B18" s="41" t="s">
        <v>175</v>
      </c>
      <c r="C18" s="32" t="n">
        <v>2000</v>
      </c>
      <c r="D18" s="17" t="s">
        <v>176</v>
      </c>
    </row>
    <row r="19" customFormat="false" ht="21.75" hidden="false" customHeight="true" outlineLevel="0" collapsed="false">
      <c r="B19" s="43" t="s">
        <v>177</v>
      </c>
      <c r="C19" s="32" t="n">
        <v>3000</v>
      </c>
      <c r="D19" s="17"/>
    </row>
    <row r="20" customFormat="false" ht="21.75" hidden="false" customHeight="true" outlineLevel="0" collapsed="false">
      <c r="B20" s="41" t="s">
        <v>178</v>
      </c>
      <c r="C20" s="32" t="n">
        <v>2000</v>
      </c>
      <c r="D20" s="17"/>
    </row>
    <row r="21" customFormat="false" ht="21.75" hidden="false" customHeight="true" outlineLevel="0" collapsed="false">
      <c r="B21" s="43" t="s">
        <v>179</v>
      </c>
      <c r="C21" s="32" t="n">
        <v>2500</v>
      </c>
      <c r="D21" s="17" t="s">
        <v>180</v>
      </c>
    </row>
    <row r="22" customFormat="false" ht="21.75" hidden="false" customHeight="true" outlineLevel="0" collapsed="false">
      <c r="B22" s="68" t="s">
        <v>181</v>
      </c>
      <c r="C22" s="69" t="n">
        <f aca="false">SUM(C16:C21)</f>
        <v>27500</v>
      </c>
    </row>
    <row r="24" customFormat="false" ht="24" hidden="false" customHeight="true" outlineLevel="0" collapsed="false">
      <c r="A24" s="14" t="s">
        <v>182</v>
      </c>
      <c r="B24" s="14"/>
      <c r="C24" s="14"/>
      <c r="D24" s="14"/>
    </row>
    <row r="25" customFormat="false" ht="21.75" hidden="false" customHeight="true" outlineLevel="0" collapsed="false">
      <c r="B25" s="41" t="s">
        <v>183</v>
      </c>
      <c r="C25" s="32" t="n">
        <v>4000</v>
      </c>
      <c r="D25" s="17"/>
    </row>
    <row r="26" customFormat="false" ht="21.75" hidden="false" customHeight="true" outlineLevel="0" collapsed="false">
      <c r="B26" s="43" t="s">
        <v>184</v>
      </c>
      <c r="C26" s="32" t="n">
        <v>1500</v>
      </c>
      <c r="D26" s="17" t="s">
        <v>185</v>
      </c>
    </row>
    <row r="27" customFormat="false" ht="21.75" hidden="false" customHeight="true" outlineLevel="0" collapsed="false">
      <c r="B27" s="41" t="s">
        <v>186</v>
      </c>
      <c r="C27" s="32" t="n">
        <v>1000</v>
      </c>
      <c r="D27" s="17"/>
    </row>
    <row r="28" customFormat="false" ht="21.75" hidden="false" customHeight="true" outlineLevel="0" collapsed="false">
      <c r="B28" s="68" t="s">
        <v>187</v>
      </c>
      <c r="C28" s="69" t="n">
        <f aca="false">SUM(C25:C27)</f>
        <v>6500</v>
      </c>
    </row>
    <row r="30" customFormat="false" ht="24" hidden="false" customHeight="true" outlineLevel="0" collapsed="false">
      <c r="A30" s="14" t="s">
        <v>188</v>
      </c>
      <c r="B30" s="14"/>
      <c r="C30" s="14"/>
      <c r="D30" s="14"/>
    </row>
    <row r="31" customFormat="false" ht="21.75" hidden="false" customHeight="true" outlineLevel="0" collapsed="false">
      <c r="B31" s="41" t="s">
        <v>189</v>
      </c>
      <c r="C31" s="32" t="n">
        <v>800</v>
      </c>
      <c r="D31" s="17" t="s">
        <v>190</v>
      </c>
    </row>
    <row r="32" customFormat="false" ht="21.75" hidden="false" customHeight="true" outlineLevel="0" collapsed="false">
      <c r="B32" s="43" t="s">
        <v>191</v>
      </c>
      <c r="C32" s="32" t="n">
        <v>500</v>
      </c>
      <c r="D32" s="17"/>
    </row>
    <row r="33" customFormat="false" ht="21.75" hidden="false" customHeight="true" outlineLevel="0" collapsed="false">
      <c r="B33" s="41" t="s">
        <v>192</v>
      </c>
      <c r="C33" s="32" t="n">
        <v>600</v>
      </c>
      <c r="D33" s="17"/>
    </row>
    <row r="34" customFormat="false" ht="21.75" hidden="false" customHeight="true" outlineLevel="0" collapsed="false">
      <c r="B34" s="68" t="s">
        <v>193</v>
      </c>
      <c r="C34" s="69" t="n">
        <f aca="false">SUM(C31:C33)</f>
        <v>1900</v>
      </c>
    </row>
    <row r="36" customFormat="false" ht="24" hidden="false" customHeight="true" outlineLevel="0" collapsed="false">
      <c r="A36" s="14" t="s">
        <v>194</v>
      </c>
      <c r="B36" s="14"/>
      <c r="C36" s="14"/>
      <c r="D36" s="14"/>
    </row>
    <row r="37" customFormat="false" ht="21.75" hidden="false" customHeight="true" outlineLevel="0" collapsed="false">
      <c r="B37" s="41" t="s">
        <v>195</v>
      </c>
      <c r="C37" s="32" t="n">
        <v>1500</v>
      </c>
      <c r="D37" s="17" t="s">
        <v>196</v>
      </c>
    </row>
    <row r="38" customFormat="false" ht="21.75" hidden="false" customHeight="true" outlineLevel="0" collapsed="false">
      <c r="B38" s="43" t="s">
        <v>197</v>
      </c>
      <c r="C38" s="32" t="n">
        <v>1000</v>
      </c>
      <c r="D38" s="17"/>
    </row>
    <row r="39" customFormat="false" ht="21.75" hidden="false" customHeight="true" outlineLevel="0" collapsed="false">
      <c r="B39" s="41" t="s">
        <v>198</v>
      </c>
      <c r="C39" s="32" t="n">
        <v>800</v>
      </c>
      <c r="D39" s="17"/>
    </row>
    <row r="40" customFormat="false" ht="21.75" hidden="false" customHeight="true" outlineLevel="0" collapsed="false">
      <c r="B40" s="43" t="s">
        <v>199</v>
      </c>
      <c r="C40" s="32" t="n">
        <v>500</v>
      </c>
      <c r="D40" s="17"/>
    </row>
    <row r="41" customFormat="false" ht="21.75" hidden="false" customHeight="true" outlineLevel="0" collapsed="false">
      <c r="B41" s="68" t="s">
        <v>200</v>
      </c>
      <c r="C41" s="69" t="n">
        <f aca="false">SUM(C37:C40)</f>
        <v>3800</v>
      </c>
    </row>
    <row r="43" customFormat="false" ht="24" hidden="false" customHeight="true" outlineLevel="0" collapsed="false">
      <c r="A43" s="14" t="s">
        <v>201</v>
      </c>
      <c r="B43" s="14"/>
      <c r="C43" s="14"/>
      <c r="D43" s="14"/>
    </row>
    <row r="44" customFormat="false" ht="21.75" hidden="false" customHeight="true" outlineLevel="0" collapsed="false">
      <c r="B44" s="41" t="s">
        <v>202</v>
      </c>
      <c r="C44" s="32" t="n">
        <v>1000</v>
      </c>
      <c r="D44" s="17" t="s">
        <v>203</v>
      </c>
    </row>
    <row r="45" customFormat="false" ht="21.75" hidden="false" customHeight="true" outlineLevel="0" collapsed="false">
      <c r="B45" s="43" t="s">
        <v>204</v>
      </c>
      <c r="C45" s="32" t="n">
        <v>9000</v>
      </c>
      <c r="D45" s="17" t="s">
        <v>205</v>
      </c>
    </row>
    <row r="46" customFormat="false" ht="21.75" hidden="false" customHeight="true" outlineLevel="0" collapsed="false">
      <c r="B46" s="41" t="s">
        <v>206</v>
      </c>
      <c r="C46" s="32" t="n">
        <v>4500</v>
      </c>
      <c r="D46" s="17" t="s">
        <v>207</v>
      </c>
    </row>
    <row r="47" customFormat="false" ht="21.75" hidden="false" customHeight="true" outlineLevel="0" collapsed="false">
      <c r="B47" s="43" t="s">
        <v>208</v>
      </c>
      <c r="C47" s="32" t="n">
        <v>1500</v>
      </c>
      <c r="D47" s="17" t="s">
        <v>209</v>
      </c>
    </row>
    <row r="48" customFormat="false" ht="21.75" hidden="false" customHeight="true" outlineLevel="0" collapsed="false">
      <c r="B48" s="41" t="s">
        <v>210</v>
      </c>
      <c r="C48" s="32" t="n">
        <v>2500</v>
      </c>
      <c r="D48" s="17"/>
    </row>
    <row r="49" customFormat="false" ht="21.75" hidden="false" customHeight="true" outlineLevel="0" collapsed="false">
      <c r="B49" s="43" t="s">
        <v>211</v>
      </c>
      <c r="C49" s="32" t="n">
        <v>500</v>
      </c>
      <c r="D49" s="17" t="s">
        <v>212</v>
      </c>
    </row>
    <row r="50" customFormat="false" ht="21.75" hidden="false" customHeight="true" outlineLevel="0" collapsed="false">
      <c r="B50" s="41" t="s">
        <v>213</v>
      </c>
      <c r="C50" s="32" t="n">
        <v>1000</v>
      </c>
      <c r="D50" s="17" t="s">
        <v>214</v>
      </c>
    </row>
    <row r="51" customFormat="false" ht="21.75" hidden="false" customHeight="true" outlineLevel="0" collapsed="false">
      <c r="B51" s="68" t="s">
        <v>215</v>
      </c>
      <c r="C51" s="69" t="n">
        <f aca="false">SUM(C44:C50)</f>
        <v>20000</v>
      </c>
    </row>
    <row r="53" customFormat="false" ht="24" hidden="false" customHeight="true" outlineLevel="0" collapsed="false">
      <c r="A53" s="14" t="s">
        <v>216</v>
      </c>
      <c r="B53" s="14"/>
      <c r="C53" s="14"/>
      <c r="D53" s="14"/>
    </row>
    <row r="54" customFormat="false" ht="21.75" hidden="false" customHeight="true" outlineLevel="0" collapsed="false">
      <c r="B54" s="41" t="s">
        <v>217</v>
      </c>
      <c r="C54" s="32" t="n">
        <v>15000</v>
      </c>
      <c r="D54" s="17" t="s">
        <v>218</v>
      </c>
    </row>
    <row r="55" customFormat="false" ht="21.75" hidden="false" customHeight="true" outlineLevel="0" collapsed="false">
      <c r="B55" s="43" t="s">
        <v>219</v>
      </c>
      <c r="C55" s="32" t="n">
        <v>5000</v>
      </c>
      <c r="D55" s="17" t="s">
        <v>220</v>
      </c>
    </row>
    <row r="56" customFormat="false" ht="21.75" hidden="false" customHeight="true" outlineLevel="0" collapsed="false">
      <c r="B56" s="68" t="s">
        <v>221</v>
      </c>
      <c r="C56" s="69" t="n">
        <f aca="false">SUM(C54:C55)</f>
        <v>20000</v>
      </c>
    </row>
    <row r="58" customFormat="false" ht="7.5" hidden="false" customHeight="true" outlineLevel="0" collapsed="false"/>
    <row r="59" customFormat="false" ht="36" hidden="false" customHeight="true" outlineLevel="0" collapsed="false">
      <c r="B59" s="70" t="s">
        <v>222</v>
      </c>
      <c r="C59" s="71" t="n">
        <f aca="false">SUM(C7:C55)</f>
        <v>181000</v>
      </c>
    </row>
    <row r="62" customFormat="false" ht="36" hidden="false" customHeight="true" outlineLevel="0" collapsed="false">
      <c r="B62" s="72" t="s">
        <v>223</v>
      </c>
      <c r="C62" s="72"/>
      <c r="D62" s="72"/>
    </row>
  </sheetData>
  <mergeCells count="10">
    <mergeCell ref="A2:D2"/>
    <mergeCell ref="B4:D4"/>
    <mergeCell ref="A6:D6"/>
    <mergeCell ref="A15:D15"/>
    <mergeCell ref="A24:D24"/>
    <mergeCell ref="A30:D30"/>
    <mergeCell ref="A36:D36"/>
    <mergeCell ref="A43:D43"/>
    <mergeCell ref="A53:D53"/>
    <mergeCell ref="B62:D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2026-02-17T23:21:51Z</dcterms:created>
  <dc:creator>openpyxl</dc:creator>
  <dc:description/>
  <dc:language>en-US</dc:language>
  <cp:lastModifiedBy/>
  <dcterms:modified xsi:type="dcterms:W3CDTF">2026-02-17T23:21:51Z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