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quipment Checklist" sheetId="2" state="visible" r:id="rId4"/>
    <sheet name="Cos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<sst xmlns="http://schemas.openxmlformats.org/spreadsheetml/2006/main" count="270" uniqueCount="139">
  <si>
    <t xml:space="preserve">Equipment Checklist &amp; Cost Estimator</t>
  </si>
  <si>
    <t xml:space="preserve">Coffee Shop Basecamp  ·  Week 5  ·  Bar Layout &amp; Equipment</t>
  </si>
  <si>
    <t xml:space="preserve">HOW TO USE THIS SHEET</t>
  </si>
  <si>
    <t xml:space="preserve">Step 1 — Equipment Checklist</t>
  </si>
  <si>
    <t xml:space="preserve">Go to the Equipment Checklist tab. Review each category and add any items specific to your shop.</t>
  </si>
  <si>
    <t xml:space="preserve">Step 2 — Enter your quotes</t>
  </si>
  <si>
    <t xml:space="preserve">For each item you need, enter the best price you found for New, Used, and/or Lease. Even rough estimates are useful at this stage.</t>
  </si>
  <si>
    <t xml:space="preserve">Step 3 — Choose your option</t>
  </si>
  <si>
    <t xml:space="preserve">In the 'Your choice' column, select New, Used, Lease, or N/A. The summary totals update automatically.</t>
  </si>
  <si>
    <t xml:space="preserve">Step 4 — Review the summary</t>
  </si>
  <si>
    <t xml:space="preserve">The Cost Summary tab shows your total opening equipment cost and monthly lease obligations. Compare this against your financial model from Week 2.</t>
  </si>
  <si>
    <t xml:space="preserve">COLOUR CODE:  Blue text = your inputs     Black text = calculated     Yellow background = key inputs to fill in     Blue-green background = standard inputs</t>
  </si>
  <si>
    <t xml:space="preserve">Equipment Checklist &amp; Cost Estimator — Week 5</t>
  </si>
  <si>
    <t xml:space="preserve">For each item you need, enter the best price you found for each option. Select your preferred option from the dropdown in column I. Yellow cells = your quotes to enter. Blue-green = other inputs.</t>
  </si>
  <si>
    <t xml:space="preserve">A — ESPRESSO BAR — CORE EQUIPMENT</t>
  </si>
  <si>
    <t xml:space="preserve">Equipment item</t>
  </si>
  <si>
    <t xml:space="preserve">Essential / Optional</t>
  </si>
  <si>
    <t xml:space="preserve">New — best price $</t>
  </si>
  <si>
    <t xml:space="preserve">Used — best price $</t>
  </si>
  <si>
    <t xml:space="preserve">Lease $/month</t>
  </si>
  <si>
    <t xml:space="preserve">Lease term (mo)</t>
  </si>
  <si>
    <t xml:space="preserve">Total lease cost $</t>
  </si>
  <si>
    <t xml:space="preserve">Your choice</t>
  </si>
  <si>
    <t xml:space="preserve">Notes / supplier / source</t>
  </si>
  <si>
    <t xml:space="preserve">Commercial espresso machine (2-group)</t>
  </si>
  <si>
    <t xml:space="preserve">Essential</t>
  </si>
  <si>
    <t xml:space="preserve">TBD</t>
  </si>
  <si>
    <t xml:space="preserve">La Marzocco, Synesso, Victoria Arduino, Sanremo. 2-group standard, 3-group for high volume. Get a quote for new and ask dealers about used / ex-lease.</t>
  </si>
  <si>
    <t xml:space="preserve">Commercial espresso grinder — House blend</t>
  </si>
  <si>
    <t xml:space="preserve">Mahlkonig EK43S, Mythos One, Eureka Atom. Budget for a second grinder if serving single origin or decaf.</t>
  </si>
  <si>
    <t xml:space="preserve">Commercial espresso grinder — Single origin / decaf</t>
  </si>
  <si>
    <t xml:space="preserve">Same brands. Having two grinders avoids re-dialling between coffees during service — critical for quality and speed.</t>
  </si>
  <si>
    <t xml:space="preserve">Underbench milk fridge</t>
  </si>
  <si>
    <t xml:space="preserve">Commercial refrigeration below or adjacent to steam wand. Must reach and hold &lt;4C. Check depth and litre capacity against peak service milk volume.</t>
  </si>
  <si>
    <t xml:space="preserve">Water filtration system</t>
  </si>
  <si>
    <t xml:space="preserve">BWT, Pentair, or roaster-recommended system. Protects machine, improves flavour. Factor in ongoing filter cartridge costs (typically annual).</t>
  </si>
  <si>
    <t xml:space="preserve">Knock box — built-in or mounted</t>
  </si>
  <si>
    <t xml:space="preserve">Built-in bench knock box preferred. Freestanding knock boxes shift during use. Position directly at the barista's working position.</t>
  </si>
  <si>
    <t xml:space="preserve">Tamper (calibrated)</t>
  </si>
  <si>
    <t xml:space="preserve">58.5mm for most commercial machines. Calibrated tamper gives consistent pressure. Budget $80–$200.</t>
  </si>
  <si>
    <t xml:space="preserve">Distribution tool / WDT</t>
  </si>
  <si>
    <t xml:space="preserve">Optional</t>
  </si>
  <si>
    <t xml:space="preserve">Improves shot-to-shot consistency. Increasingly standard in specialty cafes. Budget $80–$200.</t>
  </si>
  <si>
    <t xml:space="preserve">Milk pitchers — assorted sizes</t>
  </si>
  <si>
    <t xml:space="preserve">300ml, 600ml, and 1L minimum. Buy at least 2 of each. Stainless steel. Budget $20–$40 each.</t>
  </si>
  <si>
    <t xml:space="preserve">Milk thermometers</t>
  </si>
  <si>
    <t xml:space="preserve">For training and consistency. Waterproof digital preferred. Budget $15–$30 each. Buy 3–4.</t>
  </si>
  <si>
    <t xml:space="preserve">Section A subtotal</t>
  </si>
  <si>
    <t xml:space="preserve">B — FILTER &amp; COLD DRINKS</t>
  </si>
  <si>
    <t xml:space="preserve">Commercial batch brewer (Fetco, Marco, or similar)</t>
  </si>
  <si>
    <t xml:space="preserve">If serving batch brew — which is your highest-margin drink. Must hold temp without continuing to cook. Budget $2,500–$5,000 new.</t>
  </si>
  <si>
    <t xml:space="preserve">Filter grinder (if pour-over on menu)</t>
  </si>
  <si>
    <t xml:space="preserve">Separate grinder for filter grind sizes. Mahlkonig EK43 is industry standard. Only needed if you're serving manual pour-over.</t>
  </si>
  <si>
    <t xml:space="preserve">Pour-over station, kettle, scales</t>
  </si>
  <si>
    <t xml:space="preserve">Gooseneck electric kettle, precision scales (0.1g), dripper and server. Only if pour-over is on the menu. Adds time per drink — factor into workflow.</t>
  </si>
  <si>
    <t xml:space="preserve">Cold brew brewing vessel + storage</t>
  </si>
  <si>
    <t xml:space="preserve">Large stainless brewing vessel (10–20L) plus refrigerated storage. If cold brew is on your menu. Brew time 12–18 hours — plan accordingly.</t>
  </si>
  <si>
    <t xml:space="preserve">Commercial blender (Vitamix, Blendtec)</t>
  </si>
  <si>
    <t xml:space="preserve">Only if serving blended drinks. Needs dedicated counter space and ventilation consideration for noise. Budget $800–$1,500 commercial grade.</t>
  </si>
  <si>
    <t xml:space="preserve">Ice machine or ice supply arrangement</t>
  </si>
  <si>
    <t xml:space="preserve">If serving iced drinks at volume. Commercial ice machines are expensive — many operators use a bag ice delivery service initially.</t>
  </si>
  <si>
    <t xml:space="preserve">Section B subtotal</t>
  </si>
  <si>
    <t xml:space="preserve">C — FOOD EQUIPMENT (if offering food)</t>
  </si>
  <si>
    <t xml:space="preserve">Commercial display cabinet / pastry case</t>
  </si>
  <si>
    <t xml:space="preserve">For displaying baked goods. Refrigerated or ambient depending on your food. Consider size relative to your daily pastry volume.</t>
  </si>
  <si>
    <t xml:space="preserve">Commercial toaster or panini press</t>
  </si>
  <si>
    <t xml:space="preserve">If heating food to order. Check local food handling regulations — heating may require additional compliance.</t>
  </si>
  <si>
    <t xml:space="preserve">Commercial food fridge (underbench)</t>
  </si>
  <si>
    <t xml:space="preserve">Separate from milk fridge if food storage volume requires it. Factor in temperature zoning requirements.</t>
  </si>
  <si>
    <t xml:space="preserve">Food prep bench / surfaces</t>
  </si>
  <si>
    <t xml:space="preserve">If making food in-house. Must meet local food handling standards — stainless preferred. Check certification requirements in your area.</t>
  </si>
  <si>
    <t xml:space="preserve">Section C subtotal</t>
  </si>
  <si>
    <t xml:space="preserve">D — TECHNOLOGY &amp; POINT OF SALE</t>
  </si>
  <si>
    <t xml:space="preserve">POS system — hardware (tablet/screen + stand)</t>
  </si>
  <si>
    <t xml:space="preserve">Square, Lightspeed, Kounta, H&amp;L, or similar. Factor in monthly subscription cost separately. Check payment terminal compatibility.</t>
  </si>
  <si>
    <t xml:space="preserve">Payment terminal (EFTPOS / card reader)</t>
  </si>
  <si>
    <t xml:space="preserve">Check if bundled with your POS. Flat-rate or %-based processing fees — factor into your margin calculations from Week 2.</t>
  </si>
  <si>
    <t xml:space="preserve">Receipt printer (thermal)</t>
  </si>
  <si>
    <t xml:space="preserve">Epson TM series is standard. Wired or wireless — wireless requires reliable Wi-Fi. Budget $200–$400.</t>
  </si>
  <si>
    <t xml:space="preserve">Kitchen / bar order printer</t>
  </si>
  <si>
    <t xml:space="preserve">If your workflow uses printed drink tickets. Useful if volume is high enough that calling orders becomes impractical.</t>
  </si>
  <si>
    <t xml:space="preserve">Customer display screen</t>
  </si>
  <si>
    <t xml:space="preserve">Shows customer their order and total. Improves order accuracy. More relevant for higher-volume operations.</t>
  </si>
  <si>
    <t xml:space="preserve">Section D subtotal</t>
  </si>
  <si>
    <t xml:space="preserve">E — BACK OF HOUSE &amp; UTILITIES</t>
  </si>
  <si>
    <t xml:space="preserve">Commercial underbench glasswasher / dishwasher</t>
  </si>
  <si>
    <t xml:space="preserve">Essential for sit-down cafes. For takeaway-heavy operations, assess actual cup/vessel volume. Budget $2,000–$5,000 new.</t>
  </si>
  <si>
    <t xml:space="preserve">Three-compartment sink</t>
  </si>
  <si>
    <t xml:space="preserve">Required in most jurisdictions for wash / rinse / sanitise. Check your local food safety compliance requirements.</t>
  </si>
  <si>
    <t xml:space="preserve">Hand wash basin (dedicated)</t>
  </si>
  <si>
    <t xml:space="preserve">Separate from the main sink in most markets. Check local environmental health requirements before finalising layout.</t>
  </si>
  <si>
    <t xml:space="preserve">3-phase electrical installation</t>
  </si>
  <si>
    <t xml:space="preserve">Commercial espresso machines require 3-phase in most markets. Must be confirmed before finalising bar position. Get an electrician in early.</t>
  </si>
  <si>
    <t xml:space="preserve">Plumbing — drain lines, water supply</t>
  </si>
  <si>
    <t xml:space="preserve">Cost varies significantly depending on distance from existing services. This is one of the most common sources of fit-out budget overruns.</t>
  </si>
  <si>
    <t xml:space="preserve">Commercial ventilation / exhaust (if applicable)</t>
  </si>
  <si>
    <t xml:space="preserve">If offering hot food or using commercial cooking equipment. Check local requirements — ventilation can be a significant cost.</t>
  </si>
  <si>
    <t xml:space="preserve">Security system (alarm, CCTV)</t>
  </si>
  <si>
    <t xml:space="preserve">Usually required by commercial insurance. Get a quote as part of your pre-opening budget, not as an afterthought.</t>
  </si>
  <si>
    <t xml:space="preserve">Section E subtotal</t>
  </si>
  <si>
    <t xml:space="preserve">F — FURNITURE, FIXTURES &amp; FIT-OUT</t>
  </si>
  <si>
    <t xml:space="preserve">Bar / counter construction and joinery</t>
  </si>
  <si>
    <t xml:space="preserve">Usually the biggest single fit-out line item. Get at least three quotes. Factor in bench material, underbench storage, and equipment cut-outs.</t>
  </si>
  <si>
    <t xml:space="preserve">Customer seating — chairs</t>
  </si>
  <si>
    <t xml:space="preserve">Depends on your shop model. Grab-and-go may need none. Neighbourhood café typically 20–40 chairs. Commercial-grade durability essential.</t>
  </si>
  <si>
    <t xml:space="preserve">Customer tables</t>
  </si>
  <si>
    <t xml:space="preserve">As above. Factor in table size vs. covers capacity. Outdoor tables if applicable — check council requirements.</t>
  </si>
  <si>
    <t xml:space="preserve">Menu board(s)</t>
  </si>
  <si>
    <t xml:space="preserve">Chalkboard, printed, or digital. Must be readable from at least 3m back in the queue. Factor in update costs for seasonal menus.</t>
  </si>
  <si>
    <t xml:space="preserve">Lighting — bar and customer areas</t>
  </si>
  <si>
    <t xml:space="preserve">Lighting significantly affects atmosphere and staff working conditions. Get a lighting plan done as part of the fit-out, not as an afterthought.</t>
  </si>
  <si>
    <t xml:space="preserve">Signage — exterior and interior</t>
  </si>
  <si>
    <t xml:space="preserve">Exterior signage often requires council approval. Factor in lead times — signage delays can hold up opening.</t>
  </si>
  <si>
    <t xml:space="preserve">Section F subtotal</t>
  </si>
  <si>
    <t xml:space="preserve">Equipment Cost Summary</t>
  </si>
  <si>
    <t xml:space="preserve">This summary pulls from your Equipment Checklist automatically. It shows your total opening equipment cost based on the options you've selected.</t>
  </si>
  <si>
    <t xml:space="preserve">Category</t>
  </si>
  <si>
    <t xml:space="preserve">If all new</t>
  </si>
  <si>
    <t xml:space="preserve">If all used</t>
  </si>
  <si>
    <t xml:space="preserve">If all leased (total)</t>
  </si>
  <si>
    <t xml:space="preserve">A — Espresso Bar Core</t>
  </si>
  <si>
    <t xml:space="preserve">B — Filter &amp; Cold Drinks</t>
  </si>
  <si>
    <t xml:space="preserve">C — Food Equipment</t>
  </si>
  <si>
    <t xml:space="preserve">D — Technology &amp; POS</t>
  </si>
  <si>
    <t xml:space="preserve">E — Back of House</t>
  </si>
  <si>
    <t xml:space="preserve">F — Furniture &amp; Fit-Out</t>
  </si>
  <si>
    <t xml:space="preserve">TOTAL SELECTED EQUIPMENT COST</t>
  </si>
  <si>
    <t xml:space="preserve">MONTHLY LEASE OBLIGATIONS (for leased items)</t>
  </si>
  <si>
    <t xml:space="preserve">Total monthly lease payments</t>
  </si>
  <si>
    <t xml:space="preserve">BENCHMARKS &amp; HONEST NOTES</t>
  </si>
  <si>
    <t xml:space="preserve">Typical small café equipment budget</t>
  </si>
  <si>
    <t xml:space="preserve">$30,000 – $80,000+</t>
  </si>
  <si>
    <t xml:space="preserve">Highly variable depending on whether buying new/used, machine quality, and fit-out scope. This is capital expenditure only — not including fit-out and build costs.</t>
  </si>
  <si>
    <t xml:space="preserve">Espresso machine alone (new, 2-group)</t>
  </si>
  <si>
    <t xml:space="preserve">$12,000 – $25,000</t>
  </si>
  <si>
    <t xml:space="preserve">This is often the single largest equipment line item. A used machine from a reputable dealer ($4,000–$10,000) can significantly reduce this.</t>
  </si>
  <si>
    <t xml:space="preserve">Does your equipment total fit your opening budget?</t>
  </si>
  <si>
    <t xml:space="preserve">Compare with Week 2</t>
  </si>
  <si>
    <t xml:space="preserve">Go back to your financial model. If your equipment total exceeds your available capital, you need to revisit what you're buying new vs. used vs. leasing.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</si>
</sst>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&quot; mo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C8E6E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55E63"/>
      <name val="Arial"/>
      <family val="0"/>
      <charset val="1"/>
    </font>
    <font>
      <sz val="9"/>
      <color rgb="FF1A1A1A"/>
      <name val="Arial"/>
      <family val="0"/>
      <charset val="1"/>
    </font>
    <font>
      <sz val="8"/>
      <color rgb="FF7A512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C8E6E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7A51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55E63"/>
        <bgColor rgb="FF008080"/>
      </patternFill>
    </fill>
    <fill>
      <patternFill patternType="solid">
        <fgColor rgb="FF76B39D"/>
        <bgColor rgb="FFAFAFAF"/>
      </patternFill>
    </fill>
    <fill>
      <patternFill patternType="solid">
        <fgColor rgb="FFEFEFEF"/>
        <bgColor rgb="FFEBF4F5"/>
      </patternFill>
    </fill>
    <fill>
      <patternFill patternType="solid">
        <fgColor rgb="FFFFFFFF"/>
        <bgColor rgb="FFFFF8EE"/>
      </patternFill>
    </fill>
    <fill>
      <patternFill patternType="solid">
        <fgColor rgb="FFFFF8EE"/>
        <bgColor rgb="FFFFFFE0"/>
      </patternFill>
    </fill>
    <fill>
      <patternFill patternType="solid">
        <fgColor rgb="FFAFAFAF"/>
        <bgColor rgb="FFCCCCCC"/>
      </patternFill>
    </fill>
    <fill>
      <patternFill patternType="solid">
        <fgColor rgb="FFEBF4F5"/>
        <bgColor rgb="FFEFEFEF"/>
      </patternFill>
    </fill>
    <fill>
      <patternFill patternType="solid">
        <fgColor rgb="FFFFFFE0"/>
        <bgColor rgb="FFFFF8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5E63"/>
      <rgbColor rgb="FFCCCCCC"/>
      <rgbColor rgb="FF76B39D"/>
      <rgbColor rgb="FF9999FF"/>
      <rgbColor rgb="FF993366"/>
      <rgbColor rgb="FFFFFFE0"/>
      <rgbColor rgb="FFEBF4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E8"/>
      <rgbColor rgb="FFEFEFEF"/>
      <rgbColor rgb="FFFFF8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FAFAF"/>
      <rgbColor rgb="FF003366"/>
      <rgbColor rgb="FF339966"/>
      <rgbColor rgb="FF003300"/>
      <rgbColor rgb="FF333300"/>
      <rgbColor rgb="FF7A512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5E63"/>
    <pageSetUpPr fitToPage="false"/>
  </sheetPr>
  <dimension ref="B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4" customFormat="false" ht="15.75" hidden="false" customHeight="true" outlineLevel="0" collapsed="false">
      <c r="B4" s="3"/>
      <c r="C4" s="3"/>
    </row>
    <row r="5" customFormat="false" ht="7.5" hidden="false" customHeight="true" outlineLevel="0" collapsed="false">
      <c r="B5" s="4"/>
      <c r="C5" s="4"/>
    </row>
    <row r="6" customFormat="false" ht="15.75" hidden="false" customHeight="true" outlineLevel="0" collapsed="false">
      <c r="B6" s="5" t="s">
        <v>2</v>
      </c>
      <c r="C6" s="5"/>
    </row>
    <row r="7" customFormat="false" ht="18" hidden="false" customHeight="true" outlineLevel="0" collapsed="false">
      <c r="B7" s="6" t="s">
        <v>3</v>
      </c>
      <c r="C7" s="7" t="s">
        <v>4</v>
      </c>
    </row>
    <row r="8" customFormat="false" ht="18" hidden="false" customHeight="true" outlineLevel="0" collapsed="false">
      <c r="B8" s="6" t="s">
        <v>5</v>
      </c>
      <c r="C8" s="7" t="s">
        <v>6</v>
      </c>
    </row>
    <row r="9" customFormat="false" ht="18" hidden="false" customHeight="true" outlineLevel="0" collapsed="false">
      <c r="B9" s="6" t="s">
        <v>7</v>
      </c>
      <c r="C9" s="7" t="s">
        <v>8</v>
      </c>
    </row>
    <row r="10" customFormat="false" ht="18" hidden="false" customHeight="true" outlineLevel="0" collapsed="false">
      <c r="B10" s="6" t="s">
        <v>9</v>
      </c>
      <c r="C10" s="7" t="s">
        <v>10</v>
      </c>
    </row>
    <row r="11" customFormat="false" ht="15.75" hidden="false" customHeight="true" outlineLevel="0" collapsed="false"/>
    <row r="12" customFormat="false" ht="7.5" hidden="false" customHeight="true" outlineLevel="0" collapsed="false"/>
    <row r="13" customFormat="false" ht="60" hidden="false" customHeight="true" outlineLevel="0" collapsed="false">
      <c r="B13" s="8" t="s">
        <v>11</v>
      </c>
      <c r="C13" s="8"/>
    </row>
    <row r="14" customFormat="false" ht="7.5" hidden="false" customHeight="true" outlineLevel="0" collapsed="false"/>
  </sheetData>
  <mergeCells count="5">
    <mergeCell ref="B2:C2"/>
    <mergeCell ref="B3:C3"/>
    <mergeCell ref="B4:C4"/>
    <mergeCell ref="B6:C6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B39D"/>
    <pageSetUpPr fitToPage="false"/>
  </sheetPr>
  <dimension ref="B1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9" t="s">
        <v>12</v>
      </c>
      <c r="C2" s="9"/>
      <c r="D2" s="9"/>
      <c r="E2" s="9"/>
      <c r="F2" s="9"/>
      <c r="G2" s="9"/>
      <c r="H2" s="9"/>
      <c r="I2" s="9"/>
      <c r="J2" s="9"/>
    </row>
    <row r="3" customFormat="false" ht="19.5" hidden="false" customHeight="true" outlineLevel="0" collapsed="false">
      <c r="B3" s="10" t="s">
        <v>13</v>
      </c>
      <c r="C3" s="10"/>
      <c r="D3" s="10"/>
      <c r="E3" s="10"/>
      <c r="F3" s="10"/>
      <c r="G3" s="10"/>
      <c r="H3" s="10"/>
      <c r="I3" s="10"/>
      <c r="J3" s="10"/>
    </row>
    <row r="4" customFormat="false" ht="7.5" hidden="false" customHeight="true" outlineLevel="0" collapsed="false">
      <c r="B4" s="4"/>
      <c r="C4" s="3"/>
      <c r="D4" s="3"/>
      <c r="E4" s="3"/>
      <c r="F4" s="3"/>
      <c r="G4" s="3"/>
      <c r="H4" s="3"/>
      <c r="I4" s="3"/>
      <c r="J4" s="4"/>
    </row>
    <row r="5" customFormat="false" ht="18" hidden="false" customHeight="true" outlineLevel="0" collapsed="false">
      <c r="B5" s="11" t="s">
        <v>14</v>
      </c>
      <c r="C5" s="11"/>
      <c r="D5" s="11"/>
      <c r="E5" s="11"/>
      <c r="F5" s="11"/>
      <c r="G5" s="11"/>
      <c r="H5" s="11"/>
      <c r="I5" s="11"/>
      <c r="J5" s="11"/>
    </row>
    <row r="6" customFormat="false" ht="27.75" hidden="false" customHeight="true" outlineLevel="0" collapsed="false"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2" t="s">
        <v>23</v>
      </c>
    </row>
    <row r="7" customFormat="false" ht="18" hidden="false" customHeight="true" outlineLevel="0" collapsed="false">
      <c r="B7" s="7" t="s">
        <v>24</v>
      </c>
      <c r="C7" s="13" t="s">
        <v>25</v>
      </c>
      <c r="D7" s="14"/>
      <c r="E7" s="14"/>
      <c r="F7" s="14"/>
      <c r="G7" s="15"/>
      <c r="H7" s="16" t="str">
        <f aca="false">IFERROR(IF(F7="","",F7*G7),"")</f>
        <v/>
      </c>
      <c r="I7" s="17" t="s">
        <v>26</v>
      </c>
      <c r="J7" s="18" t="s">
        <v>27</v>
      </c>
    </row>
    <row r="8" customFormat="false" ht="18" hidden="false" customHeight="true" outlineLevel="0" collapsed="false">
      <c r="B8" s="7" t="s">
        <v>28</v>
      </c>
      <c r="C8" s="13" t="s">
        <v>25</v>
      </c>
      <c r="D8" s="14"/>
      <c r="E8" s="14"/>
      <c r="F8" s="14"/>
      <c r="G8" s="15"/>
      <c r="H8" s="16" t="str">
        <f aca="false">IFERROR(IF(F8="","",F8*G8),"")</f>
        <v/>
      </c>
      <c r="I8" s="17" t="s">
        <v>26</v>
      </c>
      <c r="J8" s="18" t="s">
        <v>29</v>
      </c>
    </row>
    <row r="9" customFormat="false" ht="18" hidden="false" customHeight="true" outlineLevel="0" collapsed="false">
      <c r="B9" s="7" t="s">
        <v>30</v>
      </c>
      <c r="C9" s="13" t="s">
        <v>25</v>
      </c>
      <c r="D9" s="14"/>
      <c r="E9" s="14"/>
      <c r="F9" s="14"/>
      <c r="G9" s="15"/>
      <c r="H9" s="16" t="str">
        <f aca="false">IFERROR(IF(F9="","",F9*G9),"")</f>
        <v/>
      </c>
      <c r="I9" s="17" t="s">
        <v>26</v>
      </c>
      <c r="J9" s="18" t="s">
        <v>31</v>
      </c>
    </row>
    <row r="10" customFormat="false" ht="18" hidden="false" customHeight="true" outlineLevel="0" collapsed="false">
      <c r="B10" s="7" t="s">
        <v>32</v>
      </c>
      <c r="C10" s="13" t="s">
        <v>25</v>
      </c>
      <c r="D10" s="14"/>
      <c r="E10" s="14"/>
      <c r="F10" s="14"/>
      <c r="G10" s="15"/>
      <c r="H10" s="16" t="str">
        <f aca="false">IFERROR(IF(F10="","",F10*G10),"")</f>
        <v/>
      </c>
      <c r="I10" s="17" t="s">
        <v>26</v>
      </c>
      <c r="J10" s="18" t="s">
        <v>33</v>
      </c>
    </row>
    <row r="11" customFormat="false" ht="18" hidden="false" customHeight="true" outlineLevel="0" collapsed="false">
      <c r="B11" s="7" t="s">
        <v>34</v>
      </c>
      <c r="C11" s="13" t="s">
        <v>25</v>
      </c>
      <c r="D11" s="14"/>
      <c r="E11" s="14"/>
      <c r="F11" s="14"/>
      <c r="G11" s="15"/>
      <c r="H11" s="16" t="str">
        <f aca="false">IFERROR(IF(F11="","",F11*G11),"")</f>
        <v/>
      </c>
      <c r="I11" s="17" t="s">
        <v>26</v>
      </c>
      <c r="J11" s="18" t="s">
        <v>35</v>
      </c>
    </row>
    <row r="12" customFormat="false" ht="18" hidden="false" customHeight="true" outlineLevel="0" collapsed="false">
      <c r="B12" s="7" t="s">
        <v>36</v>
      </c>
      <c r="C12" s="13" t="s">
        <v>25</v>
      </c>
      <c r="D12" s="14"/>
      <c r="E12" s="14"/>
      <c r="F12" s="14"/>
      <c r="G12" s="15"/>
      <c r="H12" s="16" t="str">
        <f aca="false">IFERROR(IF(F12="","",F12*G12),"")</f>
        <v/>
      </c>
      <c r="I12" s="17" t="s">
        <v>26</v>
      </c>
      <c r="J12" s="18" t="s">
        <v>37</v>
      </c>
    </row>
    <row r="13" customFormat="false" ht="18" hidden="false" customHeight="true" outlineLevel="0" collapsed="false">
      <c r="B13" s="7" t="s">
        <v>38</v>
      </c>
      <c r="C13" s="13" t="s">
        <v>25</v>
      </c>
      <c r="D13" s="14"/>
      <c r="E13" s="14"/>
      <c r="F13" s="14"/>
      <c r="G13" s="15"/>
      <c r="H13" s="16" t="str">
        <f aca="false">IFERROR(IF(F13="","",F13*G13),"")</f>
        <v/>
      </c>
      <c r="I13" s="17" t="s">
        <v>26</v>
      </c>
      <c r="J13" s="18" t="s">
        <v>39</v>
      </c>
    </row>
    <row r="14" customFormat="false" ht="18" hidden="false" customHeight="true" outlineLevel="0" collapsed="false">
      <c r="B14" s="7" t="s">
        <v>40</v>
      </c>
      <c r="C14" s="19" t="s">
        <v>41</v>
      </c>
      <c r="D14" s="14"/>
      <c r="E14" s="14"/>
      <c r="F14" s="14"/>
      <c r="G14" s="15"/>
      <c r="H14" s="16" t="str">
        <f aca="false">IFERROR(IF(F14="","",F14*G14),"")</f>
        <v/>
      </c>
      <c r="I14" s="17" t="s">
        <v>26</v>
      </c>
      <c r="J14" s="18" t="s">
        <v>42</v>
      </c>
    </row>
    <row r="15" customFormat="false" ht="18" hidden="false" customHeight="true" outlineLevel="0" collapsed="false">
      <c r="B15" s="7" t="s">
        <v>43</v>
      </c>
      <c r="C15" s="13" t="s">
        <v>25</v>
      </c>
      <c r="D15" s="14"/>
      <c r="E15" s="14"/>
      <c r="F15" s="14"/>
      <c r="G15" s="15"/>
      <c r="H15" s="16" t="str">
        <f aca="false">IFERROR(IF(F15="","",F15*G15),"")</f>
        <v/>
      </c>
      <c r="I15" s="17" t="s">
        <v>26</v>
      </c>
      <c r="J15" s="18" t="s">
        <v>44</v>
      </c>
    </row>
    <row r="16" customFormat="false" ht="18" hidden="false" customHeight="true" outlineLevel="0" collapsed="false">
      <c r="B16" s="7" t="s">
        <v>45</v>
      </c>
      <c r="C16" s="13" t="s">
        <v>25</v>
      </c>
      <c r="D16" s="14"/>
      <c r="E16" s="14"/>
      <c r="F16" s="14"/>
      <c r="G16" s="15"/>
      <c r="H16" s="16" t="str">
        <f aca="false">IFERROR(IF(F16="","",F16*G16),"")</f>
        <v/>
      </c>
      <c r="I16" s="17" t="s">
        <v>26</v>
      </c>
      <c r="J16" s="18" t="s">
        <v>46</v>
      </c>
    </row>
    <row r="17" customFormat="false" ht="18" hidden="false" customHeight="true" outlineLevel="0" collapsed="false">
      <c r="B17" s="20"/>
      <c r="C17" s="21"/>
      <c r="D17" s="14"/>
      <c r="E17" s="14"/>
      <c r="F17" s="14"/>
      <c r="G17" s="15"/>
      <c r="H17" s="16" t="str">
        <f aca="false">IFERROR(IF(F17="","",F17*G17),"")</f>
        <v/>
      </c>
      <c r="I17" s="17" t="s">
        <v>26</v>
      </c>
      <c r="J17" s="22"/>
    </row>
    <row r="18" customFormat="false" ht="18" hidden="false" customHeight="true" outlineLevel="0" collapsed="false">
      <c r="B18" s="20"/>
      <c r="C18" s="21"/>
      <c r="D18" s="14"/>
      <c r="E18" s="14"/>
      <c r="F18" s="14"/>
      <c r="G18" s="15"/>
      <c r="H18" s="16" t="str">
        <f aca="false">IFERROR(IF(F18="","",F18*G18),"")</f>
        <v/>
      </c>
      <c r="I18" s="17" t="s">
        <v>26</v>
      </c>
      <c r="J18" s="22"/>
    </row>
    <row r="19" customFormat="false" ht="18" hidden="false" customHeight="true" outlineLevel="0" collapsed="false">
      <c r="B19" s="20"/>
      <c r="C19" s="21"/>
      <c r="D19" s="14"/>
      <c r="E19" s="14"/>
      <c r="F19" s="14"/>
      <c r="G19" s="15"/>
      <c r="H19" s="16" t="str">
        <f aca="false">IFERROR(IF(F19="","",F19*G19),"")</f>
        <v/>
      </c>
      <c r="I19" s="17" t="s">
        <v>26</v>
      </c>
      <c r="J19" s="22"/>
    </row>
    <row r="20" customFormat="false" ht="18" hidden="false" customHeight="true" outlineLevel="0" collapsed="false">
      <c r="B20" s="23" t="s">
        <v>47</v>
      </c>
      <c r="C20" s="24"/>
      <c r="D20" s="25" t="n">
        <f aca="false">IFERROR(SUMIF(I7:I19,"&lt;&gt;N/A",D7:D19),0)</f>
        <v>0</v>
      </c>
      <c r="E20" s="25" t="n">
        <f aca="false">IFERROR(SUMIF(I7:I19,"&lt;&gt;N/A",E7:E19),0)</f>
        <v>0</v>
      </c>
      <c r="F20" s="24"/>
      <c r="G20" s="24"/>
      <c r="H20" s="25" t="n">
        <f aca="false">IFERROR(SUMIF(I7:I19,"&lt;&gt;N/A",H7:H19),0)</f>
        <v>0</v>
      </c>
      <c r="I20" s="24"/>
      <c r="J20" s="24"/>
    </row>
    <row r="22" customFormat="false" ht="18" hidden="false" customHeight="true" outlineLevel="0" collapsed="false">
      <c r="B22" s="5" t="s">
        <v>48</v>
      </c>
      <c r="C22" s="5"/>
      <c r="D22" s="5"/>
      <c r="E22" s="5"/>
      <c r="F22" s="5"/>
      <c r="G22" s="5"/>
      <c r="H22" s="5"/>
      <c r="I22" s="5"/>
      <c r="J22" s="5"/>
    </row>
    <row r="23" customFormat="false" ht="27.75" hidden="false" customHeight="true" outlineLevel="0" collapsed="false">
      <c r="B23" s="12" t="s">
        <v>15</v>
      </c>
      <c r="C23" s="12" t="s">
        <v>16</v>
      </c>
      <c r="D23" s="12" t="s">
        <v>17</v>
      </c>
      <c r="E23" s="12" t="s">
        <v>18</v>
      </c>
      <c r="F23" s="12" t="s">
        <v>19</v>
      </c>
      <c r="G23" s="12" t="s">
        <v>20</v>
      </c>
      <c r="H23" s="12" t="s">
        <v>21</v>
      </c>
      <c r="I23" s="12" t="s">
        <v>22</v>
      </c>
      <c r="J23" s="12" t="s">
        <v>23</v>
      </c>
    </row>
    <row r="24" customFormat="false" ht="18" hidden="false" customHeight="true" outlineLevel="0" collapsed="false">
      <c r="B24" s="7" t="s">
        <v>49</v>
      </c>
      <c r="C24" s="13" t="s">
        <v>25</v>
      </c>
      <c r="D24" s="14"/>
      <c r="E24" s="14"/>
      <c r="F24" s="14"/>
      <c r="G24" s="15"/>
      <c r="H24" s="16" t="str">
        <f aca="false">IFERROR(IF(F24="","",F24*G24),"")</f>
        <v/>
      </c>
      <c r="I24" s="17" t="s">
        <v>26</v>
      </c>
      <c r="J24" s="18" t="s">
        <v>50</v>
      </c>
    </row>
    <row r="25" customFormat="false" ht="18" hidden="false" customHeight="true" outlineLevel="0" collapsed="false">
      <c r="B25" s="7" t="s">
        <v>51</v>
      </c>
      <c r="C25" s="19" t="s">
        <v>41</v>
      </c>
      <c r="D25" s="14"/>
      <c r="E25" s="14"/>
      <c r="F25" s="14"/>
      <c r="G25" s="15"/>
      <c r="H25" s="16" t="str">
        <f aca="false">IFERROR(IF(F25="","",F25*G25),"")</f>
        <v/>
      </c>
      <c r="I25" s="17" t="s">
        <v>26</v>
      </c>
      <c r="J25" s="18" t="s">
        <v>52</v>
      </c>
    </row>
    <row r="26" customFormat="false" ht="18" hidden="false" customHeight="true" outlineLevel="0" collapsed="false">
      <c r="B26" s="7" t="s">
        <v>53</v>
      </c>
      <c r="C26" s="19" t="s">
        <v>41</v>
      </c>
      <c r="D26" s="14"/>
      <c r="E26" s="14"/>
      <c r="F26" s="14"/>
      <c r="G26" s="15"/>
      <c r="H26" s="16" t="str">
        <f aca="false">IFERROR(IF(F26="","",F26*G26),"")</f>
        <v/>
      </c>
      <c r="I26" s="17" t="s">
        <v>26</v>
      </c>
      <c r="J26" s="18" t="s">
        <v>54</v>
      </c>
    </row>
    <row r="27" customFormat="false" ht="18" hidden="false" customHeight="true" outlineLevel="0" collapsed="false">
      <c r="B27" s="7" t="s">
        <v>55</v>
      </c>
      <c r="C27" s="19" t="s">
        <v>41</v>
      </c>
      <c r="D27" s="14"/>
      <c r="E27" s="14"/>
      <c r="F27" s="14"/>
      <c r="G27" s="15"/>
      <c r="H27" s="16" t="str">
        <f aca="false">IFERROR(IF(F27="","",F27*G27),"")</f>
        <v/>
      </c>
      <c r="I27" s="17" t="s">
        <v>26</v>
      </c>
      <c r="J27" s="18" t="s">
        <v>56</v>
      </c>
    </row>
    <row r="28" customFormat="false" ht="18" hidden="false" customHeight="true" outlineLevel="0" collapsed="false">
      <c r="B28" s="7" t="s">
        <v>57</v>
      </c>
      <c r="C28" s="19" t="s">
        <v>41</v>
      </c>
      <c r="D28" s="14"/>
      <c r="E28" s="14"/>
      <c r="F28" s="14"/>
      <c r="G28" s="15"/>
      <c r="H28" s="16" t="str">
        <f aca="false">IFERROR(IF(F28="","",F28*G28),"")</f>
        <v/>
      </c>
      <c r="I28" s="17" t="s">
        <v>26</v>
      </c>
      <c r="J28" s="18" t="s">
        <v>58</v>
      </c>
    </row>
    <row r="29" customFormat="false" ht="18" hidden="false" customHeight="true" outlineLevel="0" collapsed="false">
      <c r="B29" s="7" t="s">
        <v>59</v>
      </c>
      <c r="C29" s="19" t="s">
        <v>41</v>
      </c>
      <c r="D29" s="14"/>
      <c r="E29" s="14"/>
      <c r="F29" s="14"/>
      <c r="G29" s="15"/>
      <c r="H29" s="16" t="str">
        <f aca="false">IFERROR(IF(F29="","",F29*G29),"")</f>
        <v/>
      </c>
      <c r="I29" s="17" t="s">
        <v>26</v>
      </c>
      <c r="J29" s="18" t="s">
        <v>60</v>
      </c>
    </row>
    <row r="30" customFormat="false" ht="18" hidden="false" customHeight="true" outlineLevel="0" collapsed="false">
      <c r="B30" s="20"/>
      <c r="C30" s="21"/>
      <c r="D30" s="14"/>
      <c r="E30" s="14"/>
      <c r="F30" s="14"/>
      <c r="G30" s="15"/>
      <c r="H30" s="16" t="str">
        <f aca="false">IFERROR(IF(F30="","",F30*G30),"")</f>
        <v/>
      </c>
      <c r="I30" s="17" t="s">
        <v>26</v>
      </c>
      <c r="J30" s="22"/>
    </row>
    <row r="31" customFormat="false" ht="18" hidden="false" customHeight="true" outlineLevel="0" collapsed="false">
      <c r="B31" s="20"/>
      <c r="C31" s="21"/>
      <c r="D31" s="14"/>
      <c r="E31" s="14"/>
      <c r="F31" s="14"/>
      <c r="G31" s="15"/>
      <c r="H31" s="16" t="str">
        <f aca="false">IFERROR(IF(F31="","",F31*G31),"")</f>
        <v/>
      </c>
      <c r="I31" s="17" t="s">
        <v>26</v>
      </c>
      <c r="J31" s="22"/>
    </row>
    <row r="32" customFormat="false" ht="18" hidden="false" customHeight="true" outlineLevel="0" collapsed="false">
      <c r="B32" s="23" t="s">
        <v>61</v>
      </c>
      <c r="C32" s="24"/>
      <c r="D32" s="25" t="n">
        <f aca="false">IFERROR(SUMIF(I24:I31,"&lt;&gt;N/A",D24:D31),0)</f>
        <v>0</v>
      </c>
      <c r="E32" s="25" t="n">
        <f aca="false">IFERROR(SUMIF(I24:I31,"&lt;&gt;N/A",E24:E31),0)</f>
        <v>0</v>
      </c>
      <c r="F32" s="24"/>
      <c r="G32" s="24"/>
      <c r="H32" s="25" t="n">
        <f aca="false">IFERROR(SUMIF(I24:I31,"&lt;&gt;N/A",H24:H31),0)</f>
        <v>0</v>
      </c>
      <c r="I32" s="24"/>
      <c r="J32" s="24"/>
    </row>
    <row r="34" customFormat="false" ht="18" hidden="false" customHeight="true" outlineLevel="0" collapsed="false">
      <c r="B34" s="11" t="s">
        <v>62</v>
      </c>
      <c r="C34" s="11"/>
      <c r="D34" s="11"/>
      <c r="E34" s="11"/>
      <c r="F34" s="11"/>
      <c r="G34" s="11"/>
      <c r="H34" s="11"/>
      <c r="I34" s="11"/>
      <c r="J34" s="11"/>
    </row>
    <row r="35" customFormat="false" ht="27.75" hidden="false" customHeight="true" outlineLevel="0" collapsed="false">
      <c r="B35" s="12" t="s">
        <v>15</v>
      </c>
      <c r="C35" s="12" t="s">
        <v>16</v>
      </c>
      <c r="D35" s="12" t="s">
        <v>17</v>
      </c>
      <c r="E35" s="12" t="s">
        <v>18</v>
      </c>
      <c r="F35" s="12" t="s">
        <v>19</v>
      </c>
      <c r="G35" s="12" t="s">
        <v>20</v>
      </c>
      <c r="H35" s="12" t="s">
        <v>21</v>
      </c>
      <c r="I35" s="12" t="s">
        <v>22</v>
      </c>
      <c r="J35" s="12" t="s">
        <v>23</v>
      </c>
    </row>
    <row r="36" customFormat="false" ht="18" hidden="false" customHeight="true" outlineLevel="0" collapsed="false">
      <c r="B36" s="7" t="s">
        <v>63</v>
      </c>
      <c r="C36" s="19" t="s">
        <v>41</v>
      </c>
      <c r="D36" s="14"/>
      <c r="E36" s="14"/>
      <c r="F36" s="14"/>
      <c r="G36" s="15"/>
      <c r="H36" s="16" t="str">
        <f aca="false">IFERROR(IF(F36="","",F36*G36),"")</f>
        <v/>
      </c>
      <c r="I36" s="17" t="s">
        <v>26</v>
      </c>
      <c r="J36" s="18" t="s">
        <v>64</v>
      </c>
    </row>
    <row r="37" customFormat="false" ht="18" hidden="false" customHeight="true" outlineLevel="0" collapsed="false">
      <c r="B37" s="7" t="s">
        <v>65</v>
      </c>
      <c r="C37" s="19" t="s">
        <v>41</v>
      </c>
      <c r="D37" s="14"/>
      <c r="E37" s="14"/>
      <c r="F37" s="14"/>
      <c r="G37" s="15"/>
      <c r="H37" s="16" t="str">
        <f aca="false">IFERROR(IF(F37="","",F37*G37),"")</f>
        <v/>
      </c>
      <c r="I37" s="17" t="s">
        <v>26</v>
      </c>
      <c r="J37" s="18" t="s">
        <v>66</v>
      </c>
    </row>
    <row r="38" customFormat="false" ht="18" hidden="false" customHeight="true" outlineLevel="0" collapsed="false">
      <c r="B38" s="7" t="s">
        <v>67</v>
      </c>
      <c r="C38" s="19" t="s">
        <v>41</v>
      </c>
      <c r="D38" s="14"/>
      <c r="E38" s="14"/>
      <c r="F38" s="14"/>
      <c r="G38" s="15"/>
      <c r="H38" s="16" t="str">
        <f aca="false">IFERROR(IF(F38="","",F38*G38),"")</f>
        <v/>
      </c>
      <c r="I38" s="17" t="s">
        <v>26</v>
      </c>
      <c r="J38" s="18" t="s">
        <v>68</v>
      </c>
    </row>
    <row r="39" customFormat="false" ht="18" hidden="false" customHeight="true" outlineLevel="0" collapsed="false">
      <c r="B39" s="7" t="s">
        <v>69</v>
      </c>
      <c r="C39" s="19" t="s">
        <v>41</v>
      </c>
      <c r="D39" s="14"/>
      <c r="E39" s="14"/>
      <c r="F39" s="14"/>
      <c r="G39" s="15"/>
      <c r="H39" s="16" t="str">
        <f aca="false">IFERROR(IF(F39="","",F39*G39),"")</f>
        <v/>
      </c>
      <c r="I39" s="17" t="s">
        <v>26</v>
      </c>
      <c r="J39" s="18" t="s">
        <v>70</v>
      </c>
    </row>
    <row r="40" customFormat="false" ht="18" hidden="false" customHeight="true" outlineLevel="0" collapsed="false">
      <c r="B40" s="20"/>
      <c r="C40" s="21"/>
      <c r="D40" s="14"/>
      <c r="E40" s="14"/>
      <c r="F40" s="14"/>
      <c r="G40" s="15"/>
      <c r="H40" s="16" t="str">
        <f aca="false">IFERROR(IF(F40="","",F40*G40),"")</f>
        <v/>
      </c>
      <c r="I40" s="17" t="s">
        <v>26</v>
      </c>
      <c r="J40" s="22"/>
    </row>
    <row r="41" customFormat="false" ht="18" hidden="false" customHeight="true" outlineLevel="0" collapsed="false">
      <c r="B41" s="20"/>
      <c r="C41" s="21"/>
      <c r="D41" s="14"/>
      <c r="E41" s="14"/>
      <c r="F41" s="14"/>
      <c r="G41" s="15"/>
      <c r="H41" s="16" t="str">
        <f aca="false">IFERROR(IF(F41="","",F41*G41),"")</f>
        <v/>
      </c>
      <c r="I41" s="17" t="s">
        <v>26</v>
      </c>
      <c r="J41" s="22"/>
    </row>
    <row r="42" customFormat="false" ht="18" hidden="false" customHeight="true" outlineLevel="0" collapsed="false">
      <c r="B42" s="23" t="s">
        <v>71</v>
      </c>
      <c r="C42" s="24"/>
      <c r="D42" s="25" t="n">
        <f aca="false">IFERROR(SUMIF(I36:I41,"&lt;&gt;N/A",D36:D41),0)</f>
        <v>0</v>
      </c>
      <c r="E42" s="25" t="n">
        <f aca="false">IFERROR(SUMIF(I36:I41,"&lt;&gt;N/A",E36:E41),0)</f>
        <v>0</v>
      </c>
      <c r="F42" s="24"/>
      <c r="G42" s="24"/>
      <c r="H42" s="25" t="n">
        <f aca="false">IFERROR(SUMIF(I36:I41,"&lt;&gt;N/A",H36:H41),0)</f>
        <v>0</v>
      </c>
      <c r="I42" s="24"/>
      <c r="J42" s="24"/>
    </row>
    <row r="44" customFormat="false" ht="18" hidden="false" customHeight="true" outlineLevel="0" collapsed="false">
      <c r="B44" s="5" t="s">
        <v>72</v>
      </c>
      <c r="C44" s="5"/>
      <c r="D44" s="5"/>
      <c r="E44" s="5"/>
      <c r="F44" s="5"/>
      <c r="G44" s="5"/>
      <c r="H44" s="5"/>
      <c r="I44" s="5"/>
      <c r="J44" s="5"/>
    </row>
    <row r="45" customFormat="false" ht="27.75" hidden="false" customHeight="true" outlineLevel="0" collapsed="false">
      <c r="B45" s="12" t="s">
        <v>15</v>
      </c>
      <c r="C45" s="12" t="s">
        <v>16</v>
      </c>
      <c r="D45" s="12" t="s">
        <v>17</v>
      </c>
      <c r="E45" s="12" t="s">
        <v>18</v>
      </c>
      <c r="F45" s="12" t="s">
        <v>19</v>
      </c>
      <c r="G45" s="12" t="s">
        <v>20</v>
      </c>
      <c r="H45" s="12" t="s">
        <v>21</v>
      </c>
      <c r="I45" s="12" t="s">
        <v>22</v>
      </c>
      <c r="J45" s="12" t="s">
        <v>23</v>
      </c>
    </row>
    <row r="46" customFormat="false" ht="18" hidden="false" customHeight="true" outlineLevel="0" collapsed="false">
      <c r="B46" s="7" t="s">
        <v>73</v>
      </c>
      <c r="C46" s="13" t="s">
        <v>25</v>
      </c>
      <c r="D46" s="14"/>
      <c r="E46" s="14"/>
      <c r="F46" s="14"/>
      <c r="G46" s="15"/>
      <c r="H46" s="16" t="str">
        <f aca="false">IFERROR(IF(F46="","",F46*G46),"")</f>
        <v/>
      </c>
      <c r="I46" s="17" t="s">
        <v>26</v>
      </c>
      <c r="J46" s="18" t="s">
        <v>74</v>
      </c>
    </row>
    <row r="47" customFormat="false" ht="18" hidden="false" customHeight="true" outlineLevel="0" collapsed="false">
      <c r="B47" s="7" t="s">
        <v>75</v>
      </c>
      <c r="C47" s="13" t="s">
        <v>25</v>
      </c>
      <c r="D47" s="14"/>
      <c r="E47" s="14"/>
      <c r="F47" s="14"/>
      <c r="G47" s="15"/>
      <c r="H47" s="16" t="str">
        <f aca="false">IFERROR(IF(F47="","",F47*G47),"")</f>
        <v/>
      </c>
      <c r="I47" s="17" t="s">
        <v>26</v>
      </c>
      <c r="J47" s="18" t="s">
        <v>76</v>
      </c>
    </row>
    <row r="48" customFormat="false" ht="18" hidden="false" customHeight="true" outlineLevel="0" collapsed="false">
      <c r="B48" s="7" t="s">
        <v>77</v>
      </c>
      <c r="C48" s="13" t="s">
        <v>25</v>
      </c>
      <c r="D48" s="14"/>
      <c r="E48" s="14"/>
      <c r="F48" s="14"/>
      <c r="G48" s="15"/>
      <c r="H48" s="16" t="str">
        <f aca="false">IFERROR(IF(F48="","",F48*G48),"")</f>
        <v/>
      </c>
      <c r="I48" s="17" t="s">
        <v>26</v>
      </c>
      <c r="J48" s="18" t="s">
        <v>78</v>
      </c>
    </row>
    <row r="49" customFormat="false" ht="18" hidden="false" customHeight="true" outlineLevel="0" collapsed="false">
      <c r="B49" s="7" t="s">
        <v>79</v>
      </c>
      <c r="C49" s="19" t="s">
        <v>41</v>
      </c>
      <c r="D49" s="14"/>
      <c r="E49" s="14"/>
      <c r="F49" s="14"/>
      <c r="G49" s="15"/>
      <c r="H49" s="16" t="str">
        <f aca="false">IFERROR(IF(F49="","",F49*G49),"")</f>
        <v/>
      </c>
      <c r="I49" s="17" t="s">
        <v>26</v>
      </c>
      <c r="J49" s="18" t="s">
        <v>80</v>
      </c>
    </row>
    <row r="50" customFormat="false" ht="18" hidden="false" customHeight="true" outlineLevel="0" collapsed="false">
      <c r="B50" s="7" t="s">
        <v>81</v>
      </c>
      <c r="C50" s="19" t="s">
        <v>41</v>
      </c>
      <c r="D50" s="14"/>
      <c r="E50" s="14"/>
      <c r="F50" s="14"/>
      <c r="G50" s="15"/>
      <c r="H50" s="16" t="str">
        <f aca="false">IFERROR(IF(F50="","",F50*G50),"")</f>
        <v/>
      </c>
      <c r="I50" s="17" t="s">
        <v>26</v>
      </c>
      <c r="J50" s="18" t="s">
        <v>82</v>
      </c>
    </row>
    <row r="51" customFormat="false" ht="18" hidden="false" customHeight="true" outlineLevel="0" collapsed="false">
      <c r="B51" s="20"/>
      <c r="C51" s="21"/>
      <c r="D51" s="14"/>
      <c r="E51" s="14"/>
      <c r="F51" s="14"/>
      <c r="G51" s="15"/>
      <c r="H51" s="16" t="str">
        <f aca="false">IFERROR(IF(F51="","",F51*G51),"")</f>
        <v/>
      </c>
      <c r="I51" s="17" t="s">
        <v>26</v>
      </c>
      <c r="J51" s="22"/>
    </row>
    <row r="52" customFormat="false" ht="18" hidden="false" customHeight="true" outlineLevel="0" collapsed="false">
      <c r="B52" s="20"/>
      <c r="C52" s="21"/>
      <c r="D52" s="14"/>
      <c r="E52" s="14"/>
      <c r="F52" s="14"/>
      <c r="G52" s="15"/>
      <c r="H52" s="16" t="str">
        <f aca="false">IFERROR(IF(F52="","",F52*G52),"")</f>
        <v/>
      </c>
      <c r="I52" s="17" t="s">
        <v>26</v>
      </c>
      <c r="J52" s="22"/>
    </row>
    <row r="53" customFormat="false" ht="18" hidden="false" customHeight="true" outlineLevel="0" collapsed="false">
      <c r="B53" s="23" t="s">
        <v>83</v>
      </c>
      <c r="C53" s="24"/>
      <c r="D53" s="25" t="n">
        <f aca="false">IFERROR(SUMIF(I46:I52,"&lt;&gt;N/A",D46:D52),0)</f>
        <v>0</v>
      </c>
      <c r="E53" s="25" t="n">
        <f aca="false">IFERROR(SUMIF(I46:I52,"&lt;&gt;N/A",E46:E52),0)</f>
        <v>0</v>
      </c>
      <c r="F53" s="24"/>
      <c r="G53" s="24"/>
      <c r="H53" s="25" t="n">
        <f aca="false">IFERROR(SUMIF(I46:I52,"&lt;&gt;N/A",H46:H52),0)</f>
        <v>0</v>
      </c>
      <c r="I53" s="24"/>
      <c r="J53" s="24"/>
    </row>
    <row r="55" customFormat="false" ht="18" hidden="false" customHeight="true" outlineLevel="0" collapsed="false">
      <c r="B55" s="11" t="s">
        <v>84</v>
      </c>
      <c r="C55" s="11"/>
      <c r="D55" s="11"/>
      <c r="E55" s="11"/>
      <c r="F55" s="11"/>
      <c r="G55" s="11"/>
      <c r="H55" s="11"/>
      <c r="I55" s="11"/>
      <c r="J55" s="11"/>
    </row>
    <row r="56" customFormat="false" ht="27.75" hidden="false" customHeight="true" outlineLevel="0" collapsed="false">
      <c r="B56" s="12" t="s">
        <v>15</v>
      </c>
      <c r="C56" s="12" t="s">
        <v>16</v>
      </c>
      <c r="D56" s="12" t="s">
        <v>17</v>
      </c>
      <c r="E56" s="12" t="s">
        <v>18</v>
      </c>
      <c r="F56" s="12" t="s">
        <v>19</v>
      </c>
      <c r="G56" s="12" t="s">
        <v>20</v>
      </c>
      <c r="H56" s="12" t="s">
        <v>21</v>
      </c>
      <c r="I56" s="12" t="s">
        <v>22</v>
      </c>
      <c r="J56" s="12" t="s">
        <v>23</v>
      </c>
    </row>
    <row r="57" customFormat="false" ht="18" hidden="false" customHeight="true" outlineLevel="0" collapsed="false">
      <c r="B57" s="7" t="s">
        <v>85</v>
      </c>
      <c r="C57" s="13" t="s">
        <v>25</v>
      </c>
      <c r="D57" s="14"/>
      <c r="E57" s="14"/>
      <c r="F57" s="14"/>
      <c r="G57" s="15"/>
      <c r="H57" s="16" t="str">
        <f aca="false">IFERROR(IF(F57="","",F57*G57),"")</f>
        <v/>
      </c>
      <c r="I57" s="17" t="s">
        <v>26</v>
      </c>
      <c r="J57" s="18" t="s">
        <v>86</v>
      </c>
    </row>
    <row r="58" customFormat="false" ht="18" hidden="false" customHeight="true" outlineLevel="0" collapsed="false">
      <c r="B58" s="7" t="s">
        <v>87</v>
      </c>
      <c r="C58" s="13" t="s">
        <v>25</v>
      </c>
      <c r="D58" s="14"/>
      <c r="E58" s="14"/>
      <c r="F58" s="14"/>
      <c r="G58" s="15"/>
      <c r="H58" s="16" t="str">
        <f aca="false">IFERROR(IF(F58="","",F58*G58),"")</f>
        <v/>
      </c>
      <c r="I58" s="17" t="s">
        <v>26</v>
      </c>
      <c r="J58" s="18" t="s">
        <v>88</v>
      </c>
    </row>
    <row r="59" customFormat="false" ht="18" hidden="false" customHeight="true" outlineLevel="0" collapsed="false">
      <c r="B59" s="7" t="s">
        <v>89</v>
      </c>
      <c r="C59" s="13" t="s">
        <v>25</v>
      </c>
      <c r="D59" s="14"/>
      <c r="E59" s="14"/>
      <c r="F59" s="14"/>
      <c r="G59" s="15"/>
      <c r="H59" s="16" t="str">
        <f aca="false">IFERROR(IF(F59="","",F59*G59),"")</f>
        <v/>
      </c>
      <c r="I59" s="17" t="s">
        <v>26</v>
      </c>
      <c r="J59" s="18" t="s">
        <v>90</v>
      </c>
    </row>
    <row r="60" customFormat="false" ht="18" hidden="false" customHeight="true" outlineLevel="0" collapsed="false">
      <c r="B60" s="7" t="s">
        <v>91</v>
      </c>
      <c r="C60" s="13" t="s">
        <v>25</v>
      </c>
      <c r="D60" s="14"/>
      <c r="E60" s="14"/>
      <c r="F60" s="14"/>
      <c r="G60" s="15"/>
      <c r="H60" s="16" t="str">
        <f aca="false">IFERROR(IF(F60="","",F60*G60),"")</f>
        <v/>
      </c>
      <c r="I60" s="17" t="s">
        <v>26</v>
      </c>
      <c r="J60" s="18" t="s">
        <v>92</v>
      </c>
    </row>
    <row r="61" customFormat="false" ht="18" hidden="false" customHeight="true" outlineLevel="0" collapsed="false">
      <c r="B61" s="7" t="s">
        <v>93</v>
      </c>
      <c r="C61" s="13" t="s">
        <v>25</v>
      </c>
      <c r="D61" s="14"/>
      <c r="E61" s="14"/>
      <c r="F61" s="14"/>
      <c r="G61" s="15"/>
      <c r="H61" s="16" t="str">
        <f aca="false">IFERROR(IF(F61="","",F61*G61),"")</f>
        <v/>
      </c>
      <c r="I61" s="17" t="s">
        <v>26</v>
      </c>
      <c r="J61" s="18" t="s">
        <v>94</v>
      </c>
    </row>
    <row r="62" customFormat="false" ht="18" hidden="false" customHeight="true" outlineLevel="0" collapsed="false">
      <c r="B62" s="7" t="s">
        <v>95</v>
      </c>
      <c r="C62" s="19" t="s">
        <v>41</v>
      </c>
      <c r="D62" s="14"/>
      <c r="E62" s="14"/>
      <c r="F62" s="14"/>
      <c r="G62" s="15"/>
      <c r="H62" s="16" t="str">
        <f aca="false">IFERROR(IF(F62="","",F62*G62),"")</f>
        <v/>
      </c>
      <c r="I62" s="17" t="s">
        <v>26</v>
      </c>
      <c r="J62" s="18" t="s">
        <v>96</v>
      </c>
    </row>
    <row r="63" customFormat="false" ht="18" hidden="false" customHeight="true" outlineLevel="0" collapsed="false">
      <c r="B63" s="7" t="s">
        <v>97</v>
      </c>
      <c r="C63" s="19" t="s">
        <v>41</v>
      </c>
      <c r="D63" s="14"/>
      <c r="E63" s="14"/>
      <c r="F63" s="14"/>
      <c r="G63" s="15"/>
      <c r="H63" s="16" t="str">
        <f aca="false">IFERROR(IF(F63="","",F63*G63),"")</f>
        <v/>
      </c>
      <c r="I63" s="17" t="s">
        <v>26</v>
      </c>
      <c r="J63" s="18" t="s">
        <v>98</v>
      </c>
    </row>
    <row r="64" customFormat="false" ht="18" hidden="false" customHeight="true" outlineLevel="0" collapsed="false">
      <c r="B64" s="20"/>
      <c r="C64" s="21"/>
      <c r="D64" s="14"/>
      <c r="E64" s="14"/>
      <c r="F64" s="14"/>
      <c r="G64" s="15"/>
      <c r="H64" s="16" t="str">
        <f aca="false">IFERROR(IF(F64="","",F64*G64),"")</f>
        <v/>
      </c>
      <c r="I64" s="17" t="s">
        <v>26</v>
      </c>
      <c r="J64" s="22"/>
    </row>
    <row r="65" customFormat="false" ht="18" hidden="false" customHeight="true" outlineLevel="0" collapsed="false">
      <c r="B65" s="20"/>
      <c r="C65" s="21"/>
      <c r="D65" s="14"/>
      <c r="E65" s="14"/>
      <c r="F65" s="14"/>
      <c r="G65" s="15"/>
      <c r="H65" s="16" t="str">
        <f aca="false">IFERROR(IF(F65="","",F65*G65),"")</f>
        <v/>
      </c>
      <c r="I65" s="17" t="s">
        <v>26</v>
      </c>
      <c r="J65" s="22"/>
    </row>
    <row r="66" customFormat="false" ht="18" hidden="false" customHeight="true" outlineLevel="0" collapsed="false">
      <c r="B66" s="23" t="s">
        <v>99</v>
      </c>
      <c r="C66" s="24"/>
      <c r="D66" s="25" t="n">
        <f aca="false">IFERROR(SUMIF(I57:I65,"&lt;&gt;N/A",D57:D65),0)</f>
        <v>0</v>
      </c>
      <c r="E66" s="25" t="n">
        <f aca="false">IFERROR(SUMIF(I57:I65,"&lt;&gt;N/A",E57:E65),0)</f>
        <v>0</v>
      </c>
      <c r="F66" s="24"/>
      <c r="G66" s="24"/>
      <c r="H66" s="25" t="n">
        <f aca="false">IFERROR(SUMIF(I57:I65,"&lt;&gt;N/A",H57:H65),0)</f>
        <v>0</v>
      </c>
      <c r="I66" s="24"/>
      <c r="J66" s="24"/>
    </row>
    <row r="68" customFormat="false" ht="18" hidden="false" customHeight="true" outlineLevel="0" collapsed="false">
      <c r="B68" s="5" t="s">
        <v>100</v>
      </c>
      <c r="C68" s="5"/>
      <c r="D68" s="5"/>
      <c r="E68" s="5"/>
      <c r="F68" s="5"/>
      <c r="G68" s="5"/>
      <c r="H68" s="5"/>
      <c r="I68" s="5"/>
      <c r="J68" s="5"/>
    </row>
    <row r="69" customFormat="false" ht="27.75" hidden="false" customHeight="true" outlineLevel="0" collapsed="false">
      <c r="B69" s="12" t="s">
        <v>15</v>
      </c>
      <c r="C69" s="12" t="s">
        <v>16</v>
      </c>
      <c r="D69" s="12" t="s">
        <v>17</v>
      </c>
      <c r="E69" s="12" t="s">
        <v>18</v>
      </c>
      <c r="F69" s="12" t="s">
        <v>19</v>
      </c>
      <c r="G69" s="12" t="s">
        <v>20</v>
      </c>
      <c r="H69" s="12" t="s">
        <v>21</v>
      </c>
      <c r="I69" s="12" t="s">
        <v>22</v>
      </c>
      <c r="J69" s="12" t="s">
        <v>23</v>
      </c>
    </row>
    <row r="70" customFormat="false" ht="18" hidden="false" customHeight="true" outlineLevel="0" collapsed="false">
      <c r="B70" s="7" t="s">
        <v>101</v>
      </c>
      <c r="C70" s="13" t="s">
        <v>25</v>
      </c>
      <c r="D70" s="14"/>
      <c r="E70" s="14"/>
      <c r="F70" s="14"/>
      <c r="G70" s="15"/>
      <c r="H70" s="16" t="str">
        <f aca="false">IFERROR(IF(F70="","",F70*G70),"")</f>
        <v/>
      </c>
      <c r="I70" s="17" t="s">
        <v>26</v>
      </c>
      <c r="J70" s="18" t="s">
        <v>102</v>
      </c>
    </row>
    <row r="71" customFormat="false" ht="18" hidden="false" customHeight="true" outlineLevel="0" collapsed="false">
      <c r="B71" s="7" t="s">
        <v>103</v>
      </c>
      <c r="C71" s="19" t="s">
        <v>41</v>
      </c>
      <c r="D71" s="14"/>
      <c r="E71" s="14"/>
      <c r="F71" s="14"/>
      <c r="G71" s="15"/>
      <c r="H71" s="16" t="str">
        <f aca="false">IFERROR(IF(F71="","",F71*G71),"")</f>
        <v/>
      </c>
      <c r="I71" s="17" t="s">
        <v>26</v>
      </c>
      <c r="J71" s="18" t="s">
        <v>104</v>
      </c>
    </row>
    <row r="72" customFormat="false" ht="18" hidden="false" customHeight="true" outlineLevel="0" collapsed="false">
      <c r="B72" s="7" t="s">
        <v>105</v>
      </c>
      <c r="C72" s="19" t="s">
        <v>41</v>
      </c>
      <c r="D72" s="14"/>
      <c r="E72" s="14"/>
      <c r="F72" s="14"/>
      <c r="G72" s="15"/>
      <c r="H72" s="16" t="str">
        <f aca="false">IFERROR(IF(F72="","",F72*G72),"")</f>
        <v/>
      </c>
      <c r="I72" s="17" t="s">
        <v>26</v>
      </c>
      <c r="J72" s="18" t="s">
        <v>106</v>
      </c>
    </row>
    <row r="73" customFormat="false" ht="18" hidden="false" customHeight="true" outlineLevel="0" collapsed="false">
      <c r="B73" s="7" t="s">
        <v>107</v>
      </c>
      <c r="C73" s="13" t="s">
        <v>25</v>
      </c>
      <c r="D73" s="14"/>
      <c r="E73" s="14"/>
      <c r="F73" s="14"/>
      <c r="G73" s="15"/>
      <c r="H73" s="16" t="str">
        <f aca="false">IFERROR(IF(F73="","",F73*G73),"")</f>
        <v/>
      </c>
      <c r="I73" s="17" t="s">
        <v>26</v>
      </c>
      <c r="J73" s="18" t="s">
        <v>108</v>
      </c>
    </row>
    <row r="74" customFormat="false" ht="18" hidden="false" customHeight="true" outlineLevel="0" collapsed="false">
      <c r="B74" s="7" t="s">
        <v>109</v>
      </c>
      <c r="C74" s="13" t="s">
        <v>25</v>
      </c>
      <c r="D74" s="14"/>
      <c r="E74" s="14"/>
      <c r="F74" s="14"/>
      <c r="G74" s="15"/>
      <c r="H74" s="16" t="str">
        <f aca="false">IFERROR(IF(F74="","",F74*G74),"")</f>
        <v/>
      </c>
      <c r="I74" s="17" t="s">
        <v>26</v>
      </c>
      <c r="J74" s="18" t="s">
        <v>110</v>
      </c>
    </row>
    <row r="75" customFormat="false" ht="18" hidden="false" customHeight="true" outlineLevel="0" collapsed="false">
      <c r="B75" s="7" t="s">
        <v>111</v>
      </c>
      <c r="C75" s="13" t="s">
        <v>25</v>
      </c>
      <c r="D75" s="14"/>
      <c r="E75" s="14"/>
      <c r="F75" s="14"/>
      <c r="G75" s="15"/>
      <c r="H75" s="16" t="str">
        <f aca="false">IFERROR(IF(F75="","",F75*G75),"")</f>
        <v/>
      </c>
      <c r="I75" s="17" t="s">
        <v>26</v>
      </c>
      <c r="J75" s="18" t="s">
        <v>112</v>
      </c>
    </row>
    <row r="76" customFormat="false" ht="18" hidden="false" customHeight="true" outlineLevel="0" collapsed="false">
      <c r="B76" s="20"/>
      <c r="C76" s="21"/>
      <c r="D76" s="14"/>
      <c r="E76" s="14"/>
      <c r="F76" s="14"/>
      <c r="G76" s="15"/>
      <c r="H76" s="16" t="str">
        <f aca="false">IFERROR(IF(F76="","",F76*G76),"")</f>
        <v/>
      </c>
      <c r="I76" s="17" t="s">
        <v>26</v>
      </c>
      <c r="J76" s="22"/>
    </row>
    <row r="77" customFormat="false" ht="18" hidden="false" customHeight="true" outlineLevel="0" collapsed="false">
      <c r="B77" s="20"/>
      <c r="C77" s="21"/>
      <c r="D77" s="14"/>
      <c r="E77" s="14"/>
      <c r="F77" s="14"/>
      <c r="G77" s="15"/>
      <c r="H77" s="16" t="str">
        <f aca="false">IFERROR(IF(F77="","",F77*G77),"")</f>
        <v/>
      </c>
      <c r="I77" s="17" t="s">
        <v>26</v>
      </c>
      <c r="J77" s="22"/>
    </row>
    <row r="78" customFormat="false" ht="18" hidden="false" customHeight="true" outlineLevel="0" collapsed="false">
      <c r="B78" s="23" t="s">
        <v>113</v>
      </c>
      <c r="C78" s="24"/>
      <c r="D78" s="25" t="n">
        <f aca="false">IFERROR(SUMIF(I70:I77,"&lt;&gt;N/A",D70:D77),0)</f>
        <v>0</v>
      </c>
      <c r="E78" s="25" t="n">
        <f aca="false">IFERROR(SUMIF(I70:I77,"&lt;&gt;N/A",E70:E77),0)</f>
        <v>0</v>
      </c>
      <c r="F78" s="24"/>
      <c r="G78" s="24"/>
      <c r="H78" s="25" t="n">
        <f aca="false">IFERROR(SUMIF(I70:I77,"&lt;&gt;N/A",H70:H77),0)</f>
        <v>0</v>
      </c>
      <c r="I78" s="24"/>
      <c r="J78" s="24"/>
    </row>
  </sheetData>
  <mergeCells count="9">
    <mergeCell ref="B2:J2"/>
    <mergeCell ref="B3:J3"/>
    <mergeCell ref="C4:I4"/>
    <mergeCell ref="B5:J5"/>
    <mergeCell ref="B22:J22"/>
    <mergeCell ref="B34:J34"/>
    <mergeCell ref="B44:J44"/>
    <mergeCell ref="B55:J55"/>
    <mergeCell ref="B68:J68"/>
  </mergeCells>
  <dataValidations count="2">
    <dataValidation allowBlank="true" error="Choose from the dropdown: New, Used, Lease, N/A, or TBD" errorStyle="stop" errorTitle="Invalid" operator="between" showDropDown="false" showErrorMessage="true" showInputMessage="false" sqref="I7:I19 I24:I31 I36:I41 I46:I52 I57:I65 I70:I77" type="list">
      <formula1>"New,Used,Lease,N/A,TBD"</formula1>
      <formula2>0</formula2>
    </dataValidation>
    <dataValidation allowBlank="true" errorStyle="stop" operator="between" showDropDown="false" showErrorMessage="false" showInputMessage="false" sqref="C7:C16 C24:C29 C36:C39 C46:C50 C57:C63 C70:C75" type="list">
      <formula1>"Essential,Optional"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5E63"/>
    <pageSetUpPr fitToPage="fals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20"/>
    <col collapsed="false" customWidth="true" hidden="false" outlineLevel="0" max="6" min="6" style="0" width="2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9" t="s">
        <v>114</v>
      </c>
      <c r="C2" s="9"/>
      <c r="D2" s="9"/>
      <c r="E2" s="9"/>
    </row>
    <row r="3" customFormat="false" ht="19.5" hidden="false" customHeight="true" outlineLevel="0" collapsed="false">
      <c r="B3" s="10" t="s">
        <v>115</v>
      </c>
      <c r="C3" s="10"/>
      <c r="D3" s="10"/>
      <c r="E3" s="10"/>
    </row>
    <row r="4" customFormat="false" ht="7.5" hidden="false" customHeight="true" outlineLevel="0" collapsed="false">
      <c r="B4" s="4"/>
      <c r="C4" s="3"/>
      <c r="D4" s="3"/>
      <c r="E4" s="4"/>
    </row>
    <row r="5" customFormat="false" ht="6" hidden="false" customHeight="true" outlineLevel="0" collapsed="false"/>
    <row r="6" customFormat="false" ht="27.75" hidden="false" customHeight="true" outlineLevel="0" collapsed="false">
      <c r="B6" s="12" t="s">
        <v>116</v>
      </c>
      <c r="C6" s="12" t="s">
        <v>117</v>
      </c>
      <c r="D6" s="12" t="s">
        <v>118</v>
      </c>
      <c r="E6" s="12" t="s">
        <v>119</v>
      </c>
    </row>
    <row r="7" customFormat="false" ht="18" hidden="false" customHeight="true" outlineLevel="0" collapsed="false">
      <c r="B7" s="26" t="s">
        <v>120</v>
      </c>
      <c r="C7" s="27" t="n">
        <f aca="false">IFERROR(SUMIF('Equipment Checklist'!I:I,"New",'Equipment Checklist'!D:D),0)</f>
        <v>0</v>
      </c>
      <c r="D7" s="27" t="n">
        <f aca="false">IFERROR(SUMIF('Equipment Checklist'!I:I,"Used",'Equipment Checklist'!E:E),0)</f>
        <v>0</v>
      </c>
      <c r="E7" s="27" t="n">
        <f aca="false">IFERROR(SUMIF('Equipment Checklist'!I:I,"Lease",'Equipment Checklist'!H:H),0)</f>
        <v>0</v>
      </c>
    </row>
    <row r="8" customFormat="false" ht="18" hidden="false" customHeight="true" outlineLevel="0" collapsed="false">
      <c r="B8" s="28" t="s">
        <v>121</v>
      </c>
      <c r="C8" s="16" t="n">
        <f aca="false">IFERROR(SUMIF('Equipment Checklist'!I:I,"New",'Equipment Checklist'!D:D),0)</f>
        <v>0</v>
      </c>
      <c r="D8" s="16" t="n">
        <f aca="false">IFERROR(SUMIF('Equipment Checklist'!I:I,"Used",'Equipment Checklist'!E:E),0)</f>
        <v>0</v>
      </c>
      <c r="E8" s="16" t="n">
        <f aca="false">IFERROR(SUMIF('Equipment Checklist'!I:I,"Lease",'Equipment Checklist'!H:H),0)</f>
        <v>0</v>
      </c>
    </row>
    <row r="9" customFormat="false" ht="18" hidden="false" customHeight="true" outlineLevel="0" collapsed="false">
      <c r="B9" s="26" t="s">
        <v>122</v>
      </c>
      <c r="C9" s="27" t="n">
        <f aca="false">IFERROR(SUMIF('Equipment Checklist'!I:I,"New",'Equipment Checklist'!D:D),0)</f>
        <v>0</v>
      </c>
      <c r="D9" s="27" t="n">
        <f aca="false">IFERROR(SUMIF('Equipment Checklist'!I:I,"Used",'Equipment Checklist'!E:E),0)</f>
        <v>0</v>
      </c>
      <c r="E9" s="27" t="n">
        <f aca="false">IFERROR(SUMIF('Equipment Checklist'!I:I,"Lease",'Equipment Checklist'!H:H),0)</f>
        <v>0</v>
      </c>
    </row>
    <row r="10" customFormat="false" ht="18" hidden="false" customHeight="true" outlineLevel="0" collapsed="false">
      <c r="B10" s="28" t="s">
        <v>123</v>
      </c>
      <c r="C10" s="16" t="n">
        <f aca="false">IFERROR(SUMIF('Equipment Checklist'!I:I,"New",'Equipment Checklist'!D:D),0)</f>
        <v>0</v>
      </c>
      <c r="D10" s="16" t="n">
        <f aca="false">IFERROR(SUMIF('Equipment Checklist'!I:I,"Used",'Equipment Checklist'!E:E),0)</f>
        <v>0</v>
      </c>
      <c r="E10" s="16" t="n">
        <f aca="false">IFERROR(SUMIF('Equipment Checklist'!I:I,"Lease",'Equipment Checklist'!H:H),0)</f>
        <v>0</v>
      </c>
    </row>
    <row r="11" customFormat="false" ht="18" hidden="false" customHeight="true" outlineLevel="0" collapsed="false">
      <c r="B11" s="26" t="s">
        <v>124</v>
      </c>
      <c r="C11" s="27" t="n">
        <f aca="false">IFERROR(SUMIF('Equipment Checklist'!I:I,"New",'Equipment Checklist'!D:D),0)</f>
        <v>0</v>
      </c>
      <c r="D11" s="27" t="n">
        <f aca="false">IFERROR(SUMIF('Equipment Checklist'!I:I,"Used",'Equipment Checklist'!E:E),0)</f>
        <v>0</v>
      </c>
      <c r="E11" s="27" t="n">
        <f aca="false">IFERROR(SUMIF('Equipment Checklist'!I:I,"Lease",'Equipment Checklist'!H:H),0)</f>
        <v>0</v>
      </c>
    </row>
    <row r="12" customFormat="false" ht="18" hidden="false" customHeight="true" outlineLevel="0" collapsed="false">
      <c r="B12" s="28" t="s">
        <v>125</v>
      </c>
      <c r="C12" s="16" t="n">
        <f aca="false">IFERROR(SUMIF('Equipment Checklist'!I:I,"New",'Equipment Checklist'!D:D),0)</f>
        <v>0</v>
      </c>
      <c r="D12" s="16" t="n">
        <f aca="false">IFERROR(SUMIF('Equipment Checklist'!I:I,"Used",'Equipment Checklist'!E:E),0)</f>
        <v>0</v>
      </c>
      <c r="E12" s="16" t="n">
        <f aca="false">IFERROR(SUMIF('Equipment Checklist'!I:I,"Lease",'Equipment Checklist'!H:H),0)</f>
        <v>0</v>
      </c>
    </row>
    <row r="13" customFormat="false" ht="24" hidden="false" customHeight="true" outlineLevel="0" collapsed="false">
      <c r="B13" s="29" t="s">
        <v>126</v>
      </c>
      <c r="C13" s="30" t="n">
        <f aca="false">C7+C8+C9+C10+C11+C12</f>
        <v>0</v>
      </c>
      <c r="D13" s="30" t="n">
        <f aca="false">D7+D8+D9+D10+D11+D12</f>
        <v>0</v>
      </c>
      <c r="E13" s="30" t="n">
        <f aca="false">E7+E8+E9+E10+E11+E12</f>
        <v>0</v>
      </c>
    </row>
    <row r="15" customFormat="false" ht="18" hidden="false" customHeight="true" outlineLevel="0" collapsed="false">
      <c r="B15" s="5" t="s">
        <v>127</v>
      </c>
      <c r="C15" s="5"/>
      <c r="D15" s="5"/>
      <c r="E15" s="5"/>
    </row>
    <row r="16" customFormat="false" ht="18" hidden="false" customHeight="true" outlineLevel="0" collapsed="false">
      <c r="B16" s="26" t="s">
        <v>128</v>
      </c>
      <c r="C16" s="31"/>
      <c r="D16" s="31"/>
      <c r="E16" s="32" t="n">
        <f aca="false">IFERROR(SUMIF('Equipment Checklist'!I:I,"Lease",'Equipment Checklist'!F:F),0)</f>
        <v>0</v>
      </c>
    </row>
    <row r="18" customFormat="false" ht="18" hidden="false" customHeight="true" outlineLevel="0" collapsed="false">
      <c r="B18" s="33" t="s">
        <v>129</v>
      </c>
      <c r="C18" s="33"/>
      <c r="D18" s="33"/>
      <c r="E18" s="33"/>
    </row>
    <row r="19" customFormat="false" ht="27.75" hidden="false" customHeight="true" outlineLevel="0" collapsed="false">
      <c r="B19" s="34" t="s">
        <v>130</v>
      </c>
      <c r="C19" s="35" t="s">
        <v>131</v>
      </c>
      <c r="D19" s="36" t="s">
        <v>132</v>
      </c>
      <c r="E19" s="36"/>
    </row>
    <row r="20" customFormat="false" ht="27.75" hidden="false" customHeight="true" outlineLevel="0" collapsed="false">
      <c r="B20" s="34" t="s">
        <v>133</v>
      </c>
      <c r="C20" s="35" t="s">
        <v>134</v>
      </c>
      <c r="D20" s="36" t="s">
        <v>135</v>
      </c>
      <c r="E20" s="36"/>
    </row>
    <row r="21" customFormat="false" ht="27.75" hidden="false" customHeight="true" outlineLevel="0" collapsed="false">
      <c r="B21" s="34" t="s">
        <v>136</v>
      </c>
      <c r="C21" s="35" t="s">
        <v>137</v>
      </c>
      <c r="D21" s="36" t="s">
        <v>138</v>
      </c>
      <c r="E21" s="36"/>
    </row>
  </sheetData>
  <mergeCells count="8">
    <mergeCell ref="B2:E2"/>
    <mergeCell ref="B3:E3"/>
    <mergeCell ref="C4:D4"/>
    <mergeCell ref="B15:E15"/>
    <mergeCell ref="B18:E18"/>
    <mergeCell ref="D19:E19"/>
    <mergeCell ref="D20:E20"/>
    <mergeCell ref="D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2026-02-18T20:34:48Z</dcterms:created>
  <dc:creator>openpyxl</dc:creator>
  <dc:description/>
  <dc:language>en-US</dc:language>
  <cp:lastModifiedBy/>
  <dcterms:modified xsi:type="dcterms:W3CDTF">2026-02-18T20:34:48Z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